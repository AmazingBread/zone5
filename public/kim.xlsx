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조가람\Desktop\김해시수영연맹\2024년수영대회\"/>
    </mc:Choice>
  </mc:AlternateContent>
  <bookViews>
    <workbookView xWindow="0" yWindow="0" windowWidth="28800" windowHeight="11610" tabRatio="727"/>
  </bookViews>
  <sheets>
    <sheet name="기록지(2023)" sheetId="13" r:id="rId1"/>
  </sheets>
  <definedNames>
    <definedName name="_xlnm.Print_Area" localSheetId="0">'기록지(2023)'!$A$33:$G$1913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89" i="13" l="1"/>
  <c r="F1190" i="13"/>
  <c r="F1191" i="13"/>
  <c r="F1192" i="13"/>
  <c r="F1193" i="13"/>
  <c r="F761" i="13" l="1"/>
  <c r="G761" i="13" s="1"/>
  <c r="F760" i="13"/>
  <c r="G760" i="13" s="1"/>
  <c r="F759" i="13"/>
  <c r="G759" i="13" s="1"/>
  <c r="F758" i="13"/>
  <c r="G758" i="13" s="1"/>
  <c r="F757" i="13"/>
  <c r="G757" i="13" s="1"/>
  <c r="F756" i="13"/>
  <c r="G756" i="13" s="1"/>
  <c r="F1909" i="13" l="1"/>
  <c r="G1909" i="13" s="1"/>
  <c r="F1910" i="13"/>
  <c r="G1910" i="13" s="1"/>
  <c r="F1911" i="13"/>
  <c r="F1912" i="13"/>
  <c r="G1912" i="13" s="1"/>
  <c r="F1913" i="13"/>
  <c r="G1913" i="13" s="1"/>
  <c r="F1908" i="13"/>
  <c r="G1908" i="13" s="1"/>
  <c r="G1911" i="13"/>
  <c r="F1901" i="13"/>
  <c r="G1901" i="13" s="1"/>
  <c r="F1902" i="13"/>
  <c r="G1902" i="13" s="1"/>
  <c r="F1903" i="13"/>
  <c r="G1903" i="13" s="1"/>
  <c r="F1904" i="13"/>
  <c r="G1904" i="13" s="1"/>
  <c r="F1905" i="13"/>
  <c r="G1905" i="13" s="1"/>
  <c r="F1900" i="13"/>
  <c r="G1900" i="13" s="1"/>
  <c r="F1893" i="13"/>
  <c r="G1893" i="13" s="1"/>
  <c r="F1894" i="13"/>
  <c r="G1894" i="13" s="1"/>
  <c r="F1895" i="13"/>
  <c r="G1895" i="13" s="1"/>
  <c r="F1896" i="13"/>
  <c r="G1896" i="13" s="1"/>
  <c r="F1897" i="13"/>
  <c r="F1892" i="13"/>
  <c r="G1892" i="13" s="1"/>
  <c r="F1885" i="13"/>
  <c r="G1885" i="13" s="1"/>
  <c r="F1886" i="13"/>
  <c r="G1886" i="13" s="1"/>
  <c r="F1887" i="13"/>
  <c r="G1887" i="13" s="1"/>
  <c r="F1888" i="13"/>
  <c r="G1888" i="13" s="1"/>
  <c r="F1889" i="13"/>
  <c r="G1889" i="13" s="1"/>
  <c r="F1884" i="13"/>
  <c r="G1884" i="13" s="1"/>
  <c r="F1877" i="13"/>
  <c r="G1877" i="13" s="1"/>
  <c r="F1878" i="13"/>
  <c r="G1878" i="13" s="1"/>
  <c r="F1879" i="13"/>
  <c r="G1879" i="13" s="1"/>
  <c r="F1880" i="13"/>
  <c r="G1880" i="13" s="1"/>
  <c r="F1881" i="13"/>
  <c r="G1881" i="13" s="1"/>
  <c r="F1876" i="13"/>
  <c r="G1876" i="13" s="1"/>
  <c r="G1897" i="13"/>
  <c r="F1841" i="13"/>
  <c r="F1840" i="13"/>
  <c r="F1839" i="13"/>
  <c r="F1838" i="13"/>
  <c r="F1837" i="13"/>
  <c r="F1836" i="13"/>
  <c r="F1833" i="13"/>
  <c r="F1832" i="13"/>
  <c r="F1831" i="13"/>
  <c r="F1830" i="13"/>
  <c r="F1829" i="13"/>
  <c r="F1828" i="13"/>
  <c r="F1825" i="13"/>
  <c r="F1824" i="13"/>
  <c r="F1823" i="13"/>
  <c r="F1822" i="13"/>
  <c r="F1821" i="13"/>
  <c r="F1820" i="13"/>
  <c r="F1817" i="13"/>
  <c r="F1816" i="13"/>
  <c r="F1815" i="13"/>
  <c r="F1814" i="13"/>
  <c r="F1813" i="13"/>
  <c r="F1812" i="13"/>
  <c r="F1809" i="13"/>
  <c r="F1808" i="13"/>
  <c r="F1807" i="13"/>
  <c r="F1806" i="13"/>
  <c r="F1805" i="13"/>
  <c r="F1804" i="13"/>
  <c r="F1797" i="13"/>
  <c r="F1798" i="13"/>
  <c r="F1799" i="13"/>
  <c r="F1800" i="13"/>
  <c r="F1801" i="13"/>
  <c r="F1796" i="13"/>
  <c r="F1789" i="13"/>
  <c r="F1790" i="13"/>
  <c r="F1791" i="13"/>
  <c r="F1792" i="13"/>
  <c r="F1793" i="13"/>
  <c r="F1788" i="13"/>
  <c r="F1781" i="13"/>
  <c r="F1782" i="13"/>
  <c r="F1783" i="13"/>
  <c r="F1784" i="13"/>
  <c r="F1785" i="13"/>
  <c r="F1780" i="13"/>
  <c r="F1773" i="13"/>
  <c r="F1774" i="13"/>
  <c r="F1775" i="13"/>
  <c r="F1776" i="13"/>
  <c r="F1777" i="13"/>
  <c r="F1772" i="13"/>
  <c r="F1765" i="13"/>
  <c r="F1766" i="13"/>
  <c r="F1767" i="13"/>
  <c r="F1768" i="13"/>
  <c r="F1769" i="13"/>
  <c r="F1764" i="13"/>
  <c r="F1757" i="13"/>
  <c r="F1758" i="13"/>
  <c r="F1759" i="13"/>
  <c r="F1760" i="13"/>
  <c r="F1761" i="13"/>
  <c r="F1756" i="13"/>
  <c r="F1749" i="13"/>
  <c r="F1750" i="13"/>
  <c r="F1751" i="13"/>
  <c r="F1752" i="13"/>
  <c r="F1753" i="13"/>
  <c r="F1748" i="13"/>
  <c r="F1741" i="13"/>
  <c r="F1742" i="13"/>
  <c r="F1743" i="13"/>
  <c r="F1744" i="13"/>
  <c r="F1745" i="13"/>
  <c r="F1740" i="13"/>
  <c r="F1733" i="13"/>
  <c r="F1734" i="13"/>
  <c r="F1735" i="13"/>
  <c r="F1736" i="13"/>
  <c r="F1737" i="13"/>
  <c r="F1732" i="13"/>
  <c r="F1705" i="13"/>
  <c r="F1704" i="13"/>
  <c r="F1703" i="13"/>
  <c r="F1702" i="13"/>
  <c r="F1701" i="13"/>
  <c r="F1700" i="13"/>
  <c r="F1693" i="13"/>
  <c r="F1694" i="13"/>
  <c r="F1695" i="13"/>
  <c r="F1696" i="13"/>
  <c r="F1697" i="13"/>
  <c r="F1692" i="13"/>
  <c r="F1685" i="13"/>
  <c r="F1686" i="13"/>
  <c r="F1687" i="13"/>
  <c r="F1688" i="13"/>
  <c r="F1689" i="13"/>
  <c r="F1684" i="13"/>
  <c r="F1681" i="13"/>
  <c r="F1680" i="13"/>
  <c r="F1679" i="13"/>
  <c r="F1678" i="13"/>
  <c r="F1677" i="13"/>
  <c r="F1676" i="13"/>
  <c r="F1669" i="13"/>
  <c r="F1670" i="13"/>
  <c r="F1671" i="13"/>
  <c r="F1672" i="13"/>
  <c r="F1673" i="13"/>
  <c r="F1668" i="13"/>
  <c r="F1661" i="13"/>
  <c r="F1662" i="13"/>
  <c r="F1663" i="13"/>
  <c r="F1664" i="13"/>
  <c r="F1665" i="13"/>
  <c r="F1660" i="13"/>
  <c r="F1653" i="13"/>
  <c r="F1654" i="13"/>
  <c r="F1655" i="13"/>
  <c r="F1656" i="13"/>
  <c r="F1657" i="13"/>
  <c r="F1652" i="13"/>
  <c r="F1645" i="13"/>
  <c r="F1646" i="13"/>
  <c r="F1647" i="13"/>
  <c r="F1648" i="13"/>
  <c r="F1649" i="13"/>
  <c r="F1644" i="13"/>
  <c r="F1637" i="13"/>
  <c r="F1638" i="13"/>
  <c r="F1639" i="13"/>
  <c r="F1640" i="13"/>
  <c r="F1641" i="13"/>
  <c r="F1636" i="13"/>
  <c r="F1629" i="13"/>
  <c r="F1630" i="13"/>
  <c r="F1631" i="13"/>
  <c r="F1632" i="13"/>
  <c r="F1633" i="13"/>
  <c r="F1628" i="13"/>
  <c r="F1613" i="13"/>
  <c r="F1614" i="13"/>
  <c r="F1615" i="13"/>
  <c r="F1616" i="13"/>
  <c r="F1617" i="13"/>
  <c r="F1605" i="13"/>
  <c r="F1606" i="13"/>
  <c r="F1607" i="13"/>
  <c r="F1608" i="13"/>
  <c r="F1609" i="13"/>
  <c r="F1604" i="13"/>
  <c r="F1597" i="13"/>
  <c r="F1598" i="13"/>
  <c r="F1599" i="13"/>
  <c r="F1600" i="13"/>
  <c r="F1601" i="13"/>
  <c r="F1596" i="13"/>
  <c r="F1589" i="13"/>
  <c r="F1590" i="13"/>
  <c r="F1591" i="13"/>
  <c r="F1592" i="13"/>
  <c r="F1593" i="13"/>
  <c r="F1588" i="13"/>
  <c r="F1581" i="13"/>
  <c r="F1582" i="13"/>
  <c r="F1583" i="13"/>
  <c r="F1584" i="13"/>
  <c r="F1585" i="13"/>
  <c r="F1580" i="13"/>
  <c r="F1573" i="13"/>
  <c r="F1574" i="13"/>
  <c r="F1575" i="13"/>
  <c r="F1576" i="13"/>
  <c r="F1577" i="13"/>
  <c r="F1572" i="13"/>
  <c r="F1565" i="13"/>
  <c r="F1566" i="13"/>
  <c r="F1567" i="13"/>
  <c r="F1568" i="13"/>
  <c r="F1569" i="13"/>
  <c r="F1564" i="13"/>
  <c r="F1557" i="13"/>
  <c r="F1558" i="13"/>
  <c r="F1559" i="13"/>
  <c r="F1560" i="13"/>
  <c r="F1561" i="13"/>
  <c r="F1556" i="13"/>
  <c r="F1549" i="13"/>
  <c r="F1550" i="13"/>
  <c r="F1551" i="13"/>
  <c r="F1552" i="13"/>
  <c r="F1553" i="13"/>
  <c r="F1548" i="13"/>
  <c r="F1541" i="13"/>
  <c r="F1542" i="13"/>
  <c r="F1543" i="13"/>
  <c r="F1544" i="13"/>
  <c r="F1545" i="13"/>
  <c r="F1540" i="13"/>
  <c r="F1533" i="13"/>
  <c r="F1534" i="13"/>
  <c r="F1535" i="13"/>
  <c r="F1536" i="13"/>
  <c r="F1537" i="13"/>
  <c r="F1532" i="13"/>
  <c r="F1525" i="13"/>
  <c r="F1526" i="13"/>
  <c r="F1527" i="13"/>
  <c r="F1528" i="13"/>
  <c r="F1529" i="13"/>
  <c r="F1524" i="13"/>
  <c r="F1517" i="13"/>
  <c r="F1518" i="13"/>
  <c r="F1519" i="13"/>
  <c r="F1520" i="13"/>
  <c r="F1521" i="13"/>
  <c r="F1516" i="13"/>
  <c r="F1509" i="13"/>
  <c r="F1510" i="13"/>
  <c r="F1511" i="13"/>
  <c r="F1512" i="13"/>
  <c r="F1513" i="13"/>
  <c r="F1508" i="13"/>
  <c r="F1501" i="13"/>
  <c r="F1502" i="13"/>
  <c r="F1503" i="13"/>
  <c r="F1504" i="13"/>
  <c r="F1505" i="13"/>
  <c r="F1500" i="13"/>
  <c r="F1493" i="13"/>
  <c r="F1494" i="13"/>
  <c r="F1495" i="13"/>
  <c r="F1496" i="13"/>
  <c r="F1497" i="13"/>
  <c r="F1492" i="13"/>
  <c r="F1485" i="13"/>
  <c r="F1486" i="13"/>
  <c r="F1487" i="13"/>
  <c r="F1488" i="13"/>
  <c r="F1489" i="13"/>
  <c r="F1484" i="13"/>
  <c r="F1477" i="13"/>
  <c r="F1478" i="13"/>
  <c r="F1479" i="13"/>
  <c r="F1480" i="13"/>
  <c r="F1481" i="13"/>
  <c r="F1476" i="13"/>
  <c r="F1469" i="13"/>
  <c r="F1470" i="13"/>
  <c r="F1471" i="13"/>
  <c r="F1472" i="13"/>
  <c r="F1473" i="13"/>
  <c r="F1468" i="13"/>
  <c r="F1461" i="13"/>
  <c r="F1462" i="13"/>
  <c r="F1463" i="13"/>
  <c r="F1464" i="13"/>
  <c r="F1465" i="13"/>
  <c r="F1460" i="13"/>
  <c r="F1457" i="13"/>
  <c r="F1456" i="13"/>
  <c r="F1455" i="13"/>
  <c r="F1454" i="13"/>
  <c r="F1453" i="13"/>
  <c r="F1452" i="13"/>
  <c r="F1445" i="13"/>
  <c r="F1446" i="13"/>
  <c r="F1447" i="13"/>
  <c r="F1448" i="13"/>
  <c r="F1449" i="13"/>
  <c r="F1444" i="13"/>
  <c r="F1437" i="13"/>
  <c r="F1438" i="13"/>
  <c r="F1439" i="13"/>
  <c r="F1440" i="13"/>
  <c r="F1441" i="13"/>
  <c r="F1436" i="13"/>
  <c r="F1429" i="13"/>
  <c r="F1430" i="13"/>
  <c r="F1431" i="13"/>
  <c r="F1432" i="13"/>
  <c r="F1433" i="13"/>
  <c r="F1428" i="13"/>
  <c r="F1421" i="13"/>
  <c r="F1422" i="13"/>
  <c r="F1423" i="13"/>
  <c r="F1424" i="13"/>
  <c r="F1425" i="13"/>
  <c r="F1420" i="13"/>
  <c r="F1413" i="13"/>
  <c r="F1414" i="13"/>
  <c r="F1415" i="13"/>
  <c r="F1416" i="13"/>
  <c r="F1417" i="13"/>
  <c r="F1412" i="13"/>
  <c r="F1405" i="13"/>
  <c r="F1406" i="13"/>
  <c r="F1407" i="13"/>
  <c r="F1408" i="13"/>
  <c r="F1409" i="13"/>
  <c r="F1404" i="13"/>
  <c r="F1397" i="13"/>
  <c r="F1398" i="13"/>
  <c r="F1399" i="13"/>
  <c r="F1400" i="13"/>
  <c r="F1401" i="13"/>
  <c r="F1396" i="13"/>
  <c r="F1389" i="13" l="1"/>
  <c r="F1390" i="13"/>
  <c r="F1391" i="13"/>
  <c r="F1392" i="13"/>
  <c r="F1393" i="13"/>
  <c r="F1388" i="13"/>
  <c r="F1381" i="13"/>
  <c r="F1382" i="13"/>
  <c r="F1383" i="13"/>
  <c r="F1384" i="13"/>
  <c r="F1385" i="13"/>
  <c r="F1380" i="13"/>
  <c r="F1377" i="13"/>
  <c r="F1376" i="13"/>
  <c r="F1375" i="13"/>
  <c r="F1374" i="13"/>
  <c r="F1373" i="13"/>
  <c r="F1372" i="13"/>
  <c r="F1369" i="13"/>
  <c r="F1368" i="13"/>
  <c r="F1367" i="13"/>
  <c r="F1366" i="13"/>
  <c r="F1365" i="13"/>
  <c r="F1364" i="13"/>
  <c r="F1357" i="13"/>
  <c r="F1358" i="13"/>
  <c r="F1359" i="13"/>
  <c r="F1360" i="13"/>
  <c r="F1361" i="13"/>
  <c r="F1356" i="13"/>
  <c r="F1349" i="13"/>
  <c r="F1350" i="13"/>
  <c r="F1351" i="13"/>
  <c r="F1352" i="13"/>
  <c r="F1353" i="13"/>
  <c r="F1348" i="13"/>
  <c r="F1341" i="13"/>
  <c r="F1342" i="13"/>
  <c r="F1343" i="13"/>
  <c r="F1344" i="13"/>
  <c r="F1345" i="13"/>
  <c r="F1340" i="13"/>
  <c r="F1333" i="13"/>
  <c r="F1334" i="13"/>
  <c r="F1335" i="13"/>
  <c r="F1336" i="13"/>
  <c r="F1337" i="13"/>
  <c r="F1332" i="13"/>
  <c r="F1325" i="13"/>
  <c r="F1326" i="13"/>
  <c r="F1327" i="13"/>
  <c r="F1328" i="13"/>
  <c r="F1329" i="13"/>
  <c r="F1324" i="13"/>
  <c r="F1321" i="13"/>
  <c r="F1320" i="13"/>
  <c r="F1319" i="13"/>
  <c r="F1318" i="13"/>
  <c r="F1317" i="13"/>
  <c r="F1316" i="13"/>
  <c r="F1313" i="13"/>
  <c r="F1312" i="13"/>
  <c r="F1311" i="13"/>
  <c r="F1310" i="13"/>
  <c r="F1309" i="13"/>
  <c r="F1308" i="13"/>
  <c r="F1305" i="13"/>
  <c r="F1304" i="13"/>
  <c r="F1303" i="13"/>
  <c r="F1302" i="13"/>
  <c r="F1301" i="13"/>
  <c r="F1300" i="13"/>
  <c r="F1285" i="13"/>
  <c r="F1286" i="13"/>
  <c r="F1287" i="13"/>
  <c r="F1288" i="13"/>
  <c r="F1289" i="13"/>
  <c r="F1284" i="13"/>
  <c r="F1277" i="13"/>
  <c r="F1278" i="13"/>
  <c r="F1279" i="13"/>
  <c r="F1280" i="13"/>
  <c r="F1281" i="13"/>
  <c r="F1276" i="13"/>
  <c r="F1269" i="13"/>
  <c r="F1270" i="13"/>
  <c r="F1271" i="13"/>
  <c r="F1272" i="13"/>
  <c r="F1273" i="13"/>
  <c r="F1268" i="13"/>
  <c r="F1261" i="13"/>
  <c r="F1262" i="13"/>
  <c r="F1263" i="13"/>
  <c r="F1264" i="13"/>
  <c r="F1265" i="13"/>
  <c r="F1260" i="13"/>
  <c r="F1253" i="13"/>
  <c r="F1254" i="13"/>
  <c r="F1255" i="13"/>
  <c r="F1256" i="13"/>
  <c r="F1257" i="13"/>
  <c r="F1252" i="13"/>
  <c r="F1245" i="13"/>
  <c r="F1246" i="13"/>
  <c r="F1247" i="13"/>
  <c r="F1248" i="13"/>
  <c r="F1249" i="13"/>
  <c r="F1244" i="13"/>
  <c r="F1241" i="13"/>
  <c r="F1240" i="13"/>
  <c r="F1239" i="13"/>
  <c r="F1238" i="13"/>
  <c r="F1237" i="13"/>
  <c r="F1236" i="13"/>
  <c r="F1233" i="13"/>
  <c r="F1232" i="13"/>
  <c r="F1231" i="13"/>
  <c r="F1230" i="13"/>
  <c r="F1229" i="13"/>
  <c r="F1228" i="13"/>
  <c r="F1225" i="13"/>
  <c r="F1224" i="13"/>
  <c r="F1223" i="13"/>
  <c r="F1221" i="13"/>
  <c r="F1222" i="13"/>
  <c r="F1220" i="13"/>
  <c r="F1213" i="13"/>
  <c r="F1214" i="13"/>
  <c r="F1215" i="13"/>
  <c r="F1216" i="13"/>
  <c r="F1217" i="13"/>
  <c r="F1212" i="13"/>
  <c r="F1205" i="13"/>
  <c r="F1206" i="13"/>
  <c r="F1207" i="13"/>
  <c r="F1208" i="13"/>
  <c r="F1209" i="13"/>
  <c r="F1204" i="13"/>
  <c r="F1169" i="13"/>
  <c r="F1168" i="13"/>
  <c r="F1167" i="13"/>
  <c r="F1166" i="13"/>
  <c r="F1165" i="13"/>
  <c r="F1164" i="13"/>
  <c r="F1161" i="13"/>
  <c r="F1160" i="13"/>
  <c r="F1159" i="13"/>
  <c r="F1158" i="13"/>
  <c r="F1157" i="13"/>
  <c r="F1156" i="13"/>
  <c r="F1153" i="13"/>
  <c r="F1152" i="13"/>
  <c r="F1151" i="13"/>
  <c r="F1150" i="13"/>
  <c r="F1149" i="13"/>
  <c r="F1148" i="13"/>
  <c r="F1145" i="13"/>
  <c r="F1144" i="13"/>
  <c r="F1143" i="13"/>
  <c r="F1142" i="13"/>
  <c r="F1141" i="13"/>
  <c r="F1140" i="13"/>
  <c r="F1137" i="13"/>
  <c r="F1136" i="13"/>
  <c r="F1135" i="13"/>
  <c r="F1134" i="13"/>
  <c r="F1133" i="13"/>
  <c r="F1132" i="13"/>
  <c r="F1105" i="13"/>
  <c r="F1104" i="13"/>
  <c r="F1103" i="13"/>
  <c r="F1102" i="13"/>
  <c r="F1101" i="13"/>
  <c r="F1100" i="13"/>
  <c r="F1093" i="13"/>
  <c r="F1094" i="13"/>
  <c r="F1095" i="13"/>
  <c r="F1096" i="13"/>
  <c r="F1097" i="13"/>
  <c r="F1092" i="13"/>
  <c r="F1085" i="13"/>
  <c r="F1086" i="13"/>
  <c r="F1087" i="13"/>
  <c r="F1088" i="13"/>
  <c r="F1089" i="13"/>
  <c r="F1084" i="13"/>
  <c r="F1081" i="13"/>
  <c r="F1080" i="13"/>
  <c r="F1079" i="13"/>
  <c r="F1078" i="13"/>
  <c r="F1077" i="13"/>
  <c r="F1076" i="13"/>
  <c r="F1021" i="13"/>
  <c r="F1022" i="13"/>
  <c r="F1023" i="13"/>
  <c r="F1024" i="13"/>
  <c r="F1025" i="13"/>
  <c r="F1020" i="13"/>
  <c r="F1013" i="13"/>
  <c r="F1014" i="13"/>
  <c r="F1015" i="13"/>
  <c r="F1016" i="13"/>
  <c r="F1017" i="13"/>
  <c r="F1012" i="13"/>
  <c r="F1005" i="13"/>
  <c r="F1006" i="13"/>
  <c r="F1007" i="13"/>
  <c r="F1008" i="13"/>
  <c r="F1009" i="13"/>
  <c r="F1004" i="13"/>
  <c r="F997" i="13"/>
  <c r="F998" i="13"/>
  <c r="F999" i="13"/>
  <c r="F1000" i="13"/>
  <c r="F1001" i="13"/>
  <c r="F996" i="13"/>
  <c r="F989" i="13"/>
  <c r="F990" i="13"/>
  <c r="F991" i="13"/>
  <c r="F992" i="13"/>
  <c r="F993" i="13"/>
  <c r="F988" i="13"/>
  <c r="F985" i="13"/>
  <c r="F984" i="13"/>
  <c r="F983" i="13"/>
  <c r="F982" i="13"/>
  <c r="F981" i="13"/>
  <c r="F980" i="13"/>
  <c r="F965" i="13"/>
  <c r="F966" i="13"/>
  <c r="F967" i="13"/>
  <c r="F968" i="13"/>
  <c r="F969" i="13"/>
  <c r="F964" i="13"/>
  <c r="F957" i="13"/>
  <c r="F958" i="13"/>
  <c r="F959" i="13"/>
  <c r="F960" i="13"/>
  <c r="F961" i="13"/>
  <c r="F956" i="13"/>
  <c r="F949" i="13"/>
  <c r="F950" i="13"/>
  <c r="F951" i="13"/>
  <c r="F952" i="13"/>
  <c r="F953" i="13"/>
  <c r="F948" i="13"/>
  <c r="F941" i="13"/>
  <c r="F942" i="13"/>
  <c r="F943" i="13"/>
  <c r="F944" i="13"/>
  <c r="F945" i="13"/>
  <c r="F940" i="13"/>
  <c r="F933" i="13"/>
  <c r="F934" i="13"/>
  <c r="F935" i="13"/>
  <c r="F936" i="13"/>
  <c r="F937" i="13"/>
  <c r="F932" i="13"/>
  <c r="F925" i="13"/>
  <c r="F926" i="13"/>
  <c r="F927" i="13"/>
  <c r="F928" i="13"/>
  <c r="F929" i="13"/>
  <c r="F924" i="13"/>
  <c r="F917" i="13"/>
  <c r="F918" i="13"/>
  <c r="F919" i="13"/>
  <c r="F920" i="13"/>
  <c r="F921" i="13"/>
  <c r="F916" i="13"/>
  <c r="F909" i="13"/>
  <c r="F910" i="13"/>
  <c r="F911" i="13"/>
  <c r="F912" i="13"/>
  <c r="F913" i="13"/>
  <c r="F908" i="13"/>
  <c r="F905" i="13"/>
  <c r="F904" i="13"/>
  <c r="F903" i="13"/>
  <c r="F902" i="13"/>
  <c r="F901" i="13"/>
  <c r="F900" i="13"/>
  <c r="F893" i="13"/>
  <c r="F894" i="13"/>
  <c r="F895" i="13"/>
  <c r="F896" i="13"/>
  <c r="F897" i="13"/>
  <c r="F892" i="13"/>
  <c r="F885" i="13"/>
  <c r="F886" i="13"/>
  <c r="F887" i="13"/>
  <c r="F888" i="13"/>
  <c r="F889" i="13"/>
  <c r="F884" i="13"/>
  <c r="F877" i="13"/>
  <c r="F878" i="13"/>
  <c r="F879" i="13"/>
  <c r="F880" i="13"/>
  <c r="F881" i="13"/>
  <c r="F876" i="13"/>
  <c r="F869" i="13"/>
  <c r="F870" i="13"/>
  <c r="F871" i="13"/>
  <c r="F872" i="13"/>
  <c r="F873" i="13"/>
  <c r="F868" i="13"/>
  <c r="F861" i="13"/>
  <c r="F862" i="13"/>
  <c r="F863" i="13"/>
  <c r="F864" i="13"/>
  <c r="F865" i="13"/>
  <c r="F860" i="13"/>
  <c r="F853" i="13"/>
  <c r="F854" i="13"/>
  <c r="F855" i="13"/>
  <c r="F856" i="13"/>
  <c r="F857" i="13"/>
  <c r="F852" i="13"/>
  <c r="F845" i="13"/>
  <c r="F846" i="13"/>
  <c r="F847" i="13"/>
  <c r="F848" i="13"/>
  <c r="F849" i="13"/>
  <c r="F844" i="13"/>
  <c r="F837" i="13"/>
  <c r="F838" i="13"/>
  <c r="F839" i="13"/>
  <c r="F840" i="13"/>
  <c r="F841" i="13"/>
  <c r="F836" i="13"/>
  <c r="F821" i="13" l="1"/>
  <c r="F822" i="13"/>
  <c r="F823" i="13"/>
  <c r="F824" i="13"/>
  <c r="F825" i="13"/>
  <c r="F820" i="13"/>
  <c r="F813" i="13"/>
  <c r="F814" i="13"/>
  <c r="F815" i="13"/>
  <c r="F816" i="13"/>
  <c r="F817" i="13"/>
  <c r="F812" i="13"/>
  <c r="F805" i="13"/>
  <c r="F806" i="13"/>
  <c r="F807" i="13"/>
  <c r="F808" i="13"/>
  <c r="F809" i="13"/>
  <c r="F804" i="13"/>
  <c r="F797" i="13"/>
  <c r="F798" i="13"/>
  <c r="F799" i="13"/>
  <c r="F800" i="13"/>
  <c r="F801" i="13"/>
  <c r="F796" i="13"/>
  <c r="F789" i="13"/>
  <c r="F790" i="13"/>
  <c r="F791" i="13"/>
  <c r="F792" i="13"/>
  <c r="F793" i="13"/>
  <c r="F788" i="13"/>
  <c r="F781" i="13"/>
  <c r="F782" i="13"/>
  <c r="F783" i="13"/>
  <c r="F784" i="13"/>
  <c r="F785" i="13"/>
  <c r="F780" i="13"/>
  <c r="F773" i="13"/>
  <c r="F774" i="13"/>
  <c r="F775" i="13"/>
  <c r="F776" i="13"/>
  <c r="F777" i="13"/>
  <c r="F772" i="13"/>
  <c r="F769" i="13"/>
  <c r="F768" i="13"/>
  <c r="F767" i="13"/>
  <c r="F766" i="13"/>
  <c r="F765" i="13"/>
  <c r="F764" i="13"/>
  <c r="F604" i="13" l="1"/>
  <c r="F615" i="13"/>
  <c r="F623" i="13"/>
  <c r="F628" i="13"/>
  <c r="F588" i="13"/>
  <c r="F489" i="13"/>
  <c r="F500" i="13"/>
  <c r="G500" i="13" s="1"/>
  <c r="F501" i="13"/>
  <c r="G501" i="13" s="1"/>
  <c r="F503" i="13"/>
  <c r="G503" i="13" s="1"/>
  <c r="F502" i="13"/>
  <c r="G502" i="13" s="1"/>
  <c r="F504" i="13"/>
  <c r="G504" i="13" s="1"/>
  <c r="F505" i="13"/>
  <c r="G505" i="13"/>
  <c r="F516" i="13"/>
  <c r="F748" i="13"/>
  <c r="G748" i="13" s="1"/>
  <c r="F750" i="13"/>
  <c r="G750" i="13" s="1"/>
  <c r="F749" i="13"/>
  <c r="G749" i="13" s="1"/>
  <c r="F751" i="13"/>
  <c r="G751" i="13" s="1"/>
  <c r="F752" i="13"/>
  <c r="G752" i="13" s="1"/>
  <c r="F753" i="13"/>
  <c r="G753" i="13" s="1"/>
  <c r="F741" i="13"/>
  <c r="G741" i="13" s="1"/>
  <c r="F742" i="13"/>
  <c r="G742" i="13" s="1"/>
  <c r="F743" i="13"/>
  <c r="G743" i="13" s="1"/>
  <c r="F744" i="13"/>
  <c r="G744" i="13" s="1"/>
  <c r="F745" i="13"/>
  <c r="G745" i="13" s="1"/>
  <c r="F740" i="13"/>
  <c r="G740" i="13" s="1"/>
  <c r="F733" i="13"/>
  <c r="G733" i="13" s="1"/>
  <c r="F734" i="13"/>
  <c r="G734" i="13" s="1"/>
  <c r="F735" i="13"/>
  <c r="G735" i="13" s="1"/>
  <c r="F736" i="13"/>
  <c r="G736" i="13" s="1"/>
  <c r="F737" i="13"/>
  <c r="G737" i="13" s="1"/>
  <c r="F732" i="13"/>
  <c r="G732" i="13" s="1"/>
  <c r="F725" i="13"/>
  <c r="G725" i="13" s="1"/>
  <c r="F726" i="13"/>
  <c r="G726" i="13" s="1"/>
  <c r="F727" i="13"/>
  <c r="G727" i="13" s="1"/>
  <c r="F728" i="13"/>
  <c r="G728" i="13" s="1"/>
  <c r="F729" i="13"/>
  <c r="G729" i="13" s="1"/>
  <c r="F724" i="13"/>
  <c r="G724" i="13" s="1"/>
  <c r="F717" i="13"/>
  <c r="G717" i="13" s="1"/>
  <c r="F718" i="13"/>
  <c r="G718" i="13" s="1"/>
  <c r="F719" i="13"/>
  <c r="G719" i="13" s="1"/>
  <c r="F720" i="13"/>
  <c r="G720" i="13" s="1"/>
  <c r="F721" i="13"/>
  <c r="G721" i="13" s="1"/>
  <c r="F716" i="13"/>
  <c r="G716" i="13" s="1"/>
  <c r="F709" i="13"/>
  <c r="G709" i="13" s="1"/>
  <c r="F710" i="13"/>
  <c r="G710" i="13" s="1"/>
  <c r="F711" i="13"/>
  <c r="G711" i="13" s="1"/>
  <c r="F712" i="13"/>
  <c r="G712" i="13" s="1"/>
  <c r="F713" i="13"/>
  <c r="G713" i="13" s="1"/>
  <c r="F708" i="13"/>
  <c r="G708" i="13" s="1"/>
  <c r="F701" i="13"/>
  <c r="G701" i="13" s="1"/>
  <c r="F702" i="13"/>
  <c r="G702" i="13" s="1"/>
  <c r="F703" i="13"/>
  <c r="G703" i="13" s="1"/>
  <c r="F704" i="13"/>
  <c r="G704" i="13" s="1"/>
  <c r="F705" i="13"/>
  <c r="G705" i="13" s="1"/>
  <c r="F700" i="13"/>
  <c r="G700" i="13" s="1"/>
  <c r="F693" i="13"/>
  <c r="G693" i="13" s="1"/>
  <c r="F694" i="13"/>
  <c r="G694" i="13" s="1"/>
  <c r="F695" i="13"/>
  <c r="G695" i="13" s="1"/>
  <c r="F696" i="13"/>
  <c r="G696" i="13" s="1"/>
  <c r="F697" i="13"/>
  <c r="G697" i="13" s="1"/>
  <c r="F692" i="13"/>
  <c r="G692" i="13" s="1"/>
  <c r="F685" i="13"/>
  <c r="G685" i="13" s="1"/>
  <c r="F686" i="13"/>
  <c r="G686" i="13" s="1"/>
  <c r="F687" i="13"/>
  <c r="G687" i="13" s="1"/>
  <c r="F688" i="13"/>
  <c r="G688" i="13" s="1"/>
  <c r="F689" i="13"/>
  <c r="G689" i="13" s="1"/>
  <c r="F684" i="13"/>
  <c r="G684" i="13" s="1"/>
  <c r="F665" i="13"/>
  <c r="F664" i="13"/>
  <c r="F663" i="13"/>
  <c r="F662" i="13"/>
  <c r="F661" i="13"/>
  <c r="F660" i="13"/>
  <c r="F657" i="13"/>
  <c r="F656" i="13"/>
  <c r="F655" i="13"/>
  <c r="F654" i="13"/>
  <c r="F653" i="13"/>
  <c r="F652" i="13"/>
  <c r="F649" i="13"/>
  <c r="F648" i="13"/>
  <c r="F647" i="13"/>
  <c r="F646" i="13"/>
  <c r="F645" i="13"/>
  <c r="F644" i="13"/>
  <c r="F641" i="13"/>
  <c r="F640" i="13"/>
  <c r="F639" i="13"/>
  <c r="F638" i="13"/>
  <c r="F637" i="13"/>
  <c r="F636" i="13"/>
  <c r="F629" i="13"/>
  <c r="F630" i="13"/>
  <c r="F631" i="13"/>
  <c r="F632" i="13"/>
  <c r="F633" i="13"/>
  <c r="F621" i="13"/>
  <c r="F622" i="13"/>
  <c r="F624" i="13"/>
  <c r="F625" i="13"/>
  <c r="F620" i="13"/>
  <c r="F613" i="13"/>
  <c r="F614" i="13"/>
  <c r="F616" i="13"/>
  <c r="F617" i="13"/>
  <c r="F612" i="13"/>
  <c r="F605" i="13"/>
  <c r="F606" i="13"/>
  <c r="F607" i="13"/>
  <c r="F608" i="13"/>
  <c r="F609" i="13"/>
  <c r="F597" i="13"/>
  <c r="F598" i="13"/>
  <c r="F599" i="13"/>
  <c r="F600" i="13"/>
  <c r="F601" i="13"/>
  <c r="F596" i="13"/>
  <c r="F589" i="13"/>
  <c r="F590" i="13"/>
  <c r="F591" i="13"/>
  <c r="F592" i="13"/>
  <c r="F593" i="13"/>
  <c r="F581" i="13"/>
  <c r="F582" i="13"/>
  <c r="F583" i="13"/>
  <c r="F584" i="13"/>
  <c r="F585" i="13"/>
  <c r="F580" i="13"/>
  <c r="F577" i="13"/>
  <c r="F573" i="13"/>
  <c r="F574" i="13"/>
  <c r="F575" i="13"/>
  <c r="F576" i="13"/>
  <c r="F572" i="13"/>
  <c r="F565" i="13"/>
  <c r="F566" i="13"/>
  <c r="F567" i="13"/>
  <c r="F568" i="13"/>
  <c r="F569" i="13"/>
  <c r="F564" i="13"/>
  <c r="F561" i="13"/>
  <c r="F560" i="13"/>
  <c r="F559" i="13"/>
  <c r="F558" i="13"/>
  <c r="F557" i="13"/>
  <c r="F556" i="13"/>
  <c r="F553" i="13"/>
  <c r="G553" i="13" s="1"/>
  <c r="F552" i="13"/>
  <c r="F551" i="13"/>
  <c r="F550" i="13"/>
  <c r="F549" i="13"/>
  <c r="F548" i="13"/>
  <c r="F541" i="13"/>
  <c r="F542" i="13"/>
  <c r="F543" i="13"/>
  <c r="F544" i="13"/>
  <c r="F545" i="13"/>
  <c r="F540" i="13"/>
  <c r="F533" i="13"/>
  <c r="F534" i="13"/>
  <c r="F535" i="13"/>
  <c r="F536" i="13"/>
  <c r="F537" i="13"/>
  <c r="F532" i="13"/>
  <c r="F525" i="13"/>
  <c r="F526" i="13"/>
  <c r="F527" i="13"/>
  <c r="F528" i="13"/>
  <c r="F529" i="13"/>
  <c r="F524" i="13"/>
  <c r="F517" i="13"/>
  <c r="F518" i="13"/>
  <c r="F519" i="13"/>
  <c r="F520" i="13"/>
  <c r="F521" i="13"/>
  <c r="F513" i="13"/>
  <c r="F512" i="13"/>
  <c r="F511" i="13"/>
  <c r="F510" i="13"/>
  <c r="F509" i="13"/>
  <c r="F508" i="13"/>
  <c r="F497" i="13"/>
  <c r="F496" i="13"/>
  <c r="F495" i="13"/>
  <c r="F494" i="13"/>
  <c r="F493" i="13"/>
  <c r="F492" i="13"/>
  <c r="F487" i="13"/>
  <c r="F488" i="13"/>
  <c r="F486" i="13"/>
  <c r="F485" i="13"/>
  <c r="F484" i="13"/>
  <c r="F481" i="13"/>
  <c r="F480" i="13"/>
  <c r="F479" i="13"/>
  <c r="F478" i="13"/>
  <c r="F477" i="13"/>
  <c r="F476" i="13"/>
  <c r="F469" i="13"/>
  <c r="F470" i="13"/>
  <c r="F471" i="13"/>
  <c r="F472" i="13"/>
  <c r="F473" i="13"/>
  <c r="F468" i="13"/>
  <c r="F461" i="13"/>
  <c r="F462" i="13"/>
  <c r="F463" i="13"/>
  <c r="F464" i="13"/>
  <c r="F465" i="13"/>
  <c r="F460" i="13"/>
  <c r="F453" i="13"/>
  <c r="F454" i="13"/>
  <c r="F455" i="13"/>
  <c r="F456" i="13"/>
  <c r="F457" i="13"/>
  <c r="F452" i="13"/>
  <c r="F445" i="13"/>
  <c r="F446" i="13"/>
  <c r="F447" i="13"/>
  <c r="F448" i="13"/>
  <c r="F449" i="13"/>
  <c r="F444" i="13"/>
  <c r="F241" i="13"/>
  <c r="F240" i="13"/>
  <c r="F239" i="13"/>
  <c r="F238" i="13"/>
  <c r="F237" i="13"/>
  <c r="F236" i="13"/>
  <c r="F437" i="13"/>
  <c r="F438" i="13"/>
  <c r="F439" i="13"/>
  <c r="F440" i="13"/>
  <c r="F441" i="13"/>
  <c r="F436" i="13"/>
  <c r="F429" i="13"/>
  <c r="F430" i="13"/>
  <c r="F431" i="13"/>
  <c r="F432" i="13"/>
  <c r="F433" i="13"/>
  <c r="F428" i="13"/>
  <c r="F417" i="13"/>
  <c r="F416" i="13"/>
  <c r="F415" i="13"/>
  <c r="F414" i="13"/>
  <c r="F413" i="13"/>
  <c r="F412" i="13"/>
  <c r="F405" i="13"/>
  <c r="F406" i="13"/>
  <c r="F407" i="13"/>
  <c r="F408" i="13"/>
  <c r="F409" i="13"/>
  <c r="F404" i="13"/>
  <c r="F397" i="13"/>
  <c r="F398" i="13"/>
  <c r="F399" i="13"/>
  <c r="F400" i="13"/>
  <c r="F401" i="13"/>
  <c r="F396" i="13"/>
  <c r="F389" i="13"/>
  <c r="F390" i="13"/>
  <c r="F391" i="13"/>
  <c r="F392" i="13"/>
  <c r="F393" i="13"/>
  <c r="F388" i="13"/>
  <c r="F381" i="13"/>
  <c r="F382" i="13"/>
  <c r="F383" i="13"/>
  <c r="F384" i="13"/>
  <c r="F385" i="13"/>
  <c r="F380" i="13"/>
  <c r="F377" i="13" l="1"/>
  <c r="F376" i="13"/>
  <c r="F375" i="13"/>
  <c r="F374" i="13"/>
  <c r="F373" i="13"/>
  <c r="F372" i="13"/>
  <c r="F369" i="13"/>
  <c r="F368" i="13"/>
  <c r="F367" i="13"/>
  <c r="F366" i="13"/>
  <c r="F365" i="13"/>
  <c r="F364" i="13"/>
  <c r="F361" i="13"/>
  <c r="F360" i="13"/>
  <c r="F359" i="13"/>
  <c r="F358" i="13"/>
  <c r="F357" i="13"/>
  <c r="F356" i="13"/>
  <c r="F349" i="13"/>
  <c r="F353" i="13"/>
  <c r="F352" i="13"/>
  <c r="F351" i="13"/>
  <c r="F350" i="13"/>
  <c r="F348" i="13"/>
  <c r="F341" i="13"/>
  <c r="F342" i="13"/>
  <c r="F343" i="13"/>
  <c r="F344" i="13"/>
  <c r="F345" i="13"/>
  <c r="F340" i="13"/>
  <c r="F333" i="13"/>
  <c r="F334" i="13"/>
  <c r="F335" i="13"/>
  <c r="F336" i="13"/>
  <c r="F337" i="13"/>
  <c r="F332" i="13"/>
  <c r="F325" i="13"/>
  <c r="F326" i="13"/>
  <c r="F327" i="13"/>
  <c r="F328" i="13"/>
  <c r="F329" i="13"/>
  <c r="F324" i="13"/>
  <c r="F317" i="13"/>
  <c r="F318" i="13"/>
  <c r="F319" i="13"/>
  <c r="F320" i="13"/>
  <c r="F321" i="13"/>
  <c r="F316" i="13"/>
  <c r="F313" i="13"/>
  <c r="F312" i="13"/>
  <c r="F311" i="13"/>
  <c r="F310" i="13"/>
  <c r="F309" i="13"/>
  <c r="F308" i="13"/>
  <c r="F297" i="13"/>
  <c r="G297" i="13" s="1"/>
  <c r="F296" i="13"/>
  <c r="G296" i="13" s="1"/>
  <c r="F295" i="13"/>
  <c r="G295" i="13" s="1"/>
  <c r="F294" i="13"/>
  <c r="G294" i="13" s="1"/>
  <c r="F293" i="13"/>
  <c r="G293" i="13" s="1"/>
  <c r="F292" i="13"/>
  <c r="G292" i="13" s="1"/>
  <c r="F289" i="13"/>
  <c r="G289" i="13" s="1"/>
  <c r="F288" i="13"/>
  <c r="G288" i="13" s="1"/>
  <c r="F287" i="13"/>
  <c r="G287" i="13" s="1"/>
  <c r="F286" i="13"/>
  <c r="G286" i="13" s="1"/>
  <c r="F285" i="13"/>
  <c r="G285" i="13" s="1"/>
  <c r="F284" i="13"/>
  <c r="G284" i="13" s="1"/>
  <c r="F281" i="13"/>
  <c r="G281" i="13" s="1"/>
  <c r="F280" i="13"/>
  <c r="G280" i="13" s="1"/>
  <c r="F279" i="13"/>
  <c r="G279" i="13" s="1"/>
  <c r="F278" i="13"/>
  <c r="G278" i="13" s="1"/>
  <c r="F277" i="13"/>
  <c r="G277" i="13" s="1"/>
  <c r="F276" i="13"/>
  <c r="F273" i="13"/>
  <c r="G273" i="13" s="1"/>
  <c r="F272" i="13"/>
  <c r="G272" i="13" s="1"/>
  <c r="F271" i="13"/>
  <c r="G271" i="13" s="1"/>
  <c r="F270" i="13"/>
  <c r="F269" i="13"/>
  <c r="G269" i="13" s="1"/>
  <c r="F268" i="13"/>
  <c r="G268" i="13" s="1"/>
  <c r="F265" i="13"/>
  <c r="G265" i="13" s="1"/>
  <c r="F264" i="13"/>
  <c r="G264" i="13" s="1"/>
  <c r="F263" i="13"/>
  <c r="G263" i="13" s="1"/>
  <c r="F262" i="13"/>
  <c r="G262" i="13" s="1"/>
  <c r="F261" i="13"/>
  <c r="G261" i="13" s="1"/>
  <c r="F260" i="13"/>
  <c r="G260" i="13" s="1"/>
  <c r="G276" i="13"/>
  <c r="G270" i="13"/>
  <c r="F257" i="13"/>
  <c r="F256" i="13"/>
  <c r="F255" i="13"/>
  <c r="F254" i="13"/>
  <c r="F253" i="13"/>
  <c r="F252" i="13"/>
  <c r="F249" i="13"/>
  <c r="G249" i="13" s="1"/>
  <c r="F248" i="13"/>
  <c r="G248" i="13" s="1"/>
  <c r="F247" i="13"/>
  <c r="G247" i="13" s="1"/>
  <c r="F246" i="13"/>
  <c r="G246" i="13" s="1"/>
  <c r="F245" i="13"/>
  <c r="G245" i="13" s="1"/>
  <c r="F244" i="13"/>
  <c r="G244" i="13" s="1"/>
  <c r="G241" i="13"/>
  <c r="G240" i="13"/>
  <c r="G239" i="13"/>
  <c r="G238" i="13"/>
  <c r="G237" i="13"/>
  <c r="G236" i="13"/>
  <c r="F225" i="13"/>
  <c r="G225" i="13" s="1"/>
  <c r="F224" i="13"/>
  <c r="G224" i="13" s="1"/>
  <c r="F223" i="13"/>
  <c r="G223" i="13" s="1"/>
  <c r="F222" i="13"/>
  <c r="G222" i="13" s="1"/>
  <c r="F221" i="13"/>
  <c r="G221" i="13" s="1"/>
  <c r="F220" i="13"/>
  <c r="G220" i="13" s="1"/>
  <c r="F233" i="13"/>
  <c r="G233" i="13" s="1"/>
  <c r="F232" i="13"/>
  <c r="G232" i="13" s="1"/>
  <c r="F231" i="13"/>
  <c r="G231" i="13" s="1"/>
  <c r="F230" i="13"/>
  <c r="G230" i="13" s="1"/>
  <c r="F229" i="13"/>
  <c r="G229" i="13" s="1"/>
  <c r="F228" i="13"/>
  <c r="G228" i="13" s="1"/>
  <c r="F217" i="13"/>
  <c r="G217" i="13" s="1"/>
  <c r="F216" i="13"/>
  <c r="G216" i="13" s="1"/>
  <c r="F215" i="13"/>
  <c r="G215" i="13" s="1"/>
  <c r="F214" i="13"/>
  <c r="G214" i="13" s="1"/>
  <c r="F213" i="13"/>
  <c r="G213" i="13" s="1"/>
  <c r="F212" i="13"/>
  <c r="G212" i="13" s="1"/>
  <c r="F209" i="13"/>
  <c r="G209" i="13" s="1"/>
  <c r="F208" i="13"/>
  <c r="G208" i="13" s="1"/>
  <c r="F207" i="13"/>
  <c r="G207" i="13" s="1"/>
  <c r="F206" i="13"/>
  <c r="G206" i="13" s="1"/>
  <c r="F205" i="13"/>
  <c r="G205" i="13" s="1"/>
  <c r="F204" i="13"/>
  <c r="G204" i="13" s="1"/>
  <c r="F201" i="13"/>
  <c r="G201" i="13" s="1"/>
  <c r="F200" i="13"/>
  <c r="G200" i="13" s="1"/>
  <c r="F199" i="13"/>
  <c r="G199" i="13" s="1"/>
  <c r="F198" i="13"/>
  <c r="G198" i="13" s="1"/>
  <c r="F197" i="13"/>
  <c r="G197" i="13" s="1"/>
  <c r="F196" i="13"/>
  <c r="G196" i="13" s="1"/>
  <c r="F184" i="13"/>
  <c r="F165" i="13"/>
  <c r="G165" i="13" s="1"/>
  <c r="F166" i="13"/>
  <c r="G166" i="13" s="1"/>
  <c r="F167" i="13"/>
  <c r="F168" i="13"/>
  <c r="G168" i="13" s="1"/>
  <c r="F169" i="13"/>
  <c r="G169" i="13" s="1"/>
  <c r="F164" i="13"/>
  <c r="G164" i="13" s="1"/>
  <c r="F157" i="13"/>
  <c r="F158" i="13"/>
  <c r="F159" i="13"/>
  <c r="F160" i="13"/>
  <c r="F161" i="13"/>
  <c r="F156" i="13"/>
  <c r="F149" i="13"/>
  <c r="F150" i="13"/>
  <c r="F151" i="13"/>
  <c r="F152" i="13"/>
  <c r="F153" i="13"/>
  <c r="F148" i="13"/>
  <c r="G167" i="13"/>
  <c r="F141" i="13"/>
  <c r="G141" i="13" s="1"/>
  <c r="F142" i="13"/>
  <c r="G142" i="13" s="1"/>
  <c r="F143" i="13"/>
  <c r="G143" i="13" s="1"/>
  <c r="F144" i="13"/>
  <c r="G144" i="13" s="1"/>
  <c r="F145" i="13"/>
  <c r="G145" i="13" s="1"/>
  <c r="F140" i="13"/>
  <c r="G140" i="13" s="1"/>
  <c r="F133" i="13"/>
  <c r="F134" i="13"/>
  <c r="F135" i="13"/>
  <c r="F136" i="13"/>
  <c r="F137" i="13"/>
  <c r="F132" i="13"/>
  <c r="F125" i="13"/>
  <c r="F126" i="13"/>
  <c r="F127" i="13"/>
  <c r="F128" i="13"/>
  <c r="F129" i="13"/>
  <c r="F124" i="13"/>
  <c r="F109" i="13"/>
  <c r="G109" i="13" s="1"/>
  <c r="F110" i="13"/>
  <c r="G110" i="13" s="1"/>
  <c r="F111" i="13"/>
  <c r="G111" i="13" s="1"/>
  <c r="F112" i="13"/>
  <c r="G112" i="13" s="1"/>
  <c r="F113" i="13"/>
  <c r="G113" i="13" s="1"/>
  <c r="F108" i="13"/>
  <c r="G108" i="13" s="1"/>
  <c r="F101" i="13"/>
  <c r="F102" i="13"/>
  <c r="F103" i="13"/>
  <c r="F104" i="13"/>
  <c r="F105" i="13"/>
  <c r="F100" i="13"/>
  <c r="F93" i="13"/>
  <c r="F94" i="13"/>
  <c r="F95" i="13"/>
  <c r="F96" i="13"/>
  <c r="F97" i="13"/>
  <c r="F92" i="13"/>
  <c r="F86" i="13"/>
  <c r="F87" i="13"/>
  <c r="F88" i="13"/>
  <c r="F89" i="13"/>
  <c r="F85" i="13"/>
  <c r="F84" i="13"/>
  <c r="F81" i="13"/>
  <c r="F80" i="13"/>
  <c r="F79" i="13"/>
  <c r="F78" i="13"/>
  <c r="F77" i="13"/>
  <c r="F76" i="13"/>
  <c r="F65" i="13"/>
  <c r="G65" i="13" s="1"/>
  <c r="F64" i="13"/>
  <c r="G64" i="13" s="1"/>
  <c r="F63" i="13"/>
  <c r="G63" i="13" s="1"/>
  <c r="F62" i="13"/>
  <c r="G62" i="13" s="1"/>
  <c r="F61" i="13"/>
  <c r="G61" i="13" s="1"/>
  <c r="F60" i="13"/>
  <c r="G60" i="13" s="1"/>
  <c r="G352" i="13" l="1"/>
  <c r="F1869" i="13" l="1"/>
  <c r="G1869" i="13" s="1"/>
  <c r="F1870" i="13"/>
  <c r="G1870" i="13" s="1"/>
  <c r="F1871" i="13"/>
  <c r="G1871" i="13" s="1"/>
  <c r="F1872" i="13"/>
  <c r="G1872" i="13" s="1"/>
  <c r="F1873" i="13"/>
  <c r="G1873" i="13" s="1"/>
  <c r="F1868" i="13"/>
  <c r="G1868" i="13" s="1"/>
  <c r="F1861" i="13"/>
  <c r="G1861" i="13" s="1"/>
  <c r="F1862" i="13"/>
  <c r="G1862" i="13" s="1"/>
  <c r="F1863" i="13"/>
  <c r="G1863" i="13" s="1"/>
  <c r="F1864" i="13"/>
  <c r="G1864" i="13" s="1"/>
  <c r="F1865" i="13"/>
  <c r="G1865" i="13" s="1"/>
  <c r="F1860" i="13"/>
  <c r="G1860" i="13" s="1"/>
  <c r="F1725" i="13"/>
  <c r="F1726" i="13"/>
  <c r="F1727" i="13"/>
  <c r="F1728" i="13"/>
  <c r="F1729" i="13"/>
  <c r="F1724" i="13"/>
  <c r="F1717" i="13"/>
  <c r="F1718" i="13"/>
  <c r="F1719" i="13"/>
  <c r="F1720" i="13"/>
  <c r="F1721" i="13"/>
  <c r="F1716" i="13"/>
  <c r="F1709" i="13"/>
  <c r="F1710" i="13"/>
  <c r="F1711" i="13"/>
  <c r="F1712" i="13"/>
  <c r="F1713" i="13"/>
  <c r="F1708" i="13"/>
  <c r="F1621" i="13"/>
  <c r="F1622" i="13"/>
  <c r="F1623" i="13"/>
  <c r="F1624" i="13"/>
  <c r="F1625" i="13"/>
  <c r="F1620" i="13"/>
  <c r="F1612" i="13"/>
  <c r="F1197" i="13" l="1"/>
  <c r="F1198" i="13"/>
  <c r="F1199" i="13"/>
  <c r="F1200" i="13"/>
  <c r="F1201" i="13"/>
  <c r="F1196" i="13"/>
  <c r="F1188" i="13"/>
  <c r="F1181" i="13"/>
  <c r="F1182" i="13"/>
  <c r="F1183" i="13"/>
  <c r="F1184" i="13"/>
  <c r="F1185" i="13"/>
  <c r="F1180" i="13"/>
  <c r="F1173" i="13"/>
  <c r="F1174" i="13"/>
  <c r="F1175" i="13"/>
  <c r="F1176" i="13"/>
  <c r="F1177" i="13"/>
  <c r="F1172" i="13"/>
  <c r="F1061" i="13"/>
  <c r="F1062" i="13"/>
  <c r="F1063" i="13"/>
  <c r="F1064" i="13"/>
  <c r="F1065" i="13"/>
  <c r="F1060" i="13"/>
  <c r="F1053" i="13"/>
  <c r="F1054" i="13"/>
  <c r="F1055" i="13"/>
  <c r="F1056" i="13"/>
  <c r="F1057" i="13"/>
  <c r="F1052" i="13"/>
  <c r="F1045" i="13"/>
  <c r="F1046" i="13"/>
  <c r="F1047" i="13"/>
  <c r="F1048" i="13"/>
  <c r="F1049" i="13"/>
  <c r="F1044" i="13"/>
  <c r="F1037" i="13"/>
  <c r="F1038" i="13"/>
  <c r="F1039" i="13"/>
  <c r="F1040" i="13"/>
  <c r="F1041" i="13"/>
  <c r="F1036" i="13"/>
  <c r="F1029" i="13"/>
  <c r="F1030" i="13"/>
  <c r="F1031" i="13"/>
  <c r="F1032" i="13"/>
  <c r="F1033" i="13"/>
  <c r="F1028" i="13"/>
  <c r="F188" i="13" l="1"/>
  <c r="F181" i="13"/>
  <c r="F182" i="13"/>
  <c r="F183" i="13"/>
  <c r="F185" i="13"/>
  <c r="F180" i="13"/>
  <c r="F173" i="13"/>
  <c r="F174" i="13"/>
  <c r="F175" i="13"/>
  <c r="F176" i="13"/>
  <c r="F177" i="13"/>
  <c r="F172" i="13"/>
  <c r="F37" i="13"/>
  <c r="G37" i="13" s="1"/>
  <c r="F38" i="13"/>
  <c r="G38" i="13" s="1"/>
  <c r="F57" i="13" l="1"/>
  <c r="G57" i="13" s="1"/>
  <c r="F56" i="13"/>
  <c r="G56" i="13" s="1"/>
  <c r="F55" i="13"/>
  <c r="G55" i="13" s="1"/>
  <c r="F54" i="13"/>
  <c r="G54" i="13" s="1"/>
  <c r="F53" i="13"/>
  <c r="G53" i="13" s="1"/>
  <c r="F52" i="13"/>
  <c r="G52" i="13" s="1"/>
  <c r="G1841" i="13"/>
  <c r="G1840" i="13"/>
  <c r="G1839" i="13"/>
  <c r="G1838" i="13"/>
  <c r="G1837" i="13"/>
  <c r="G1836" i="13"/>
  <c r="G137" i="13" l="1"/>
  <c r="G136" i="13"/>
  <c r="G135" i="13"/>
  <c r="G134" i="13"/>
  <c r="G133" i="13"/>
  <c r="G132" i="13"/>
  <c r="F1852" i="13" l="1"/>
  <c r="G1852" i="13" s="1"/>
  <c r="F1844" i="13"/>
  <c r="G1844" i="13" s="1"/>
  <c r="G1644" i="13"/>
  <c r="G1649" i="13"/>
  <c r="G1648" i="13"/>
  <c r="G1647" i="13"/>
  <c r="G1646" i="13"/>
  <c r="G1645" i="13"/>
  <c r="G1625" i="13"/>
  <c r="G1624" i="13"/>
  <c r="G1623" i="13"/>
  <c r="G1622" i="13"/>
  <c r="G1621" i="13"/>
  <c r="G1620" i="13"/>
  <c r="G1609" i="13"/>
  <c r="G1608" i="13"/>
  <c r="G1607" i="13"/>
  <c r="G1606" i="13"/>
  <c r="G1605" i="13"/>
  <c r="G1604" i="13"/>
  <c r="G1601" i="13"/>
  <c r="G1600" i="13"/>
  <c r="G1599" i="13"/>
  <c r="G1598" i="13"/>
  <c r="G1597" i="13"/>
  <c r="G1596" i="13"/>
  <c r="G1593" i="13"/>
  <c r="G1592" i="13"/>
  <c r="G1591" i="13"/>
  <c r="G1590" i="13"/>
  <c r="G1589" i="13"/>
  <c r="G1588" i="13"/>
  <c r="G1457" i="13"/>
  <c r="G1456" i="13"/>
  <c r="G1455" i="13"/>
  <c r="G1454" i="13"/>
  <c r="G1453" i="13"/>
  <c r="G1452" i="13"/>
  <c r="F1292" i="13"/>
  <c r="G1185" i="13"/>
  <c r="G1184" i="13"/>
  <c r="G1183" i="13"/>
  <c r="G1182" i="13"/>
  <c r="G1181" i="13"/>
  <c r="G1180" i="13"/>
  <c r="F1124" i="13"/>
  <c r="F1116" i="13"/>
  <c r="F1113" i="13"/>
  <c r="G1113" i="13" s="1"/>
  <c r="F1112" i="13"/>
  <c r="G1112" i="13" s="1"/>
  <c r="F1111" i="13"/>
  <c r="G1111" i="13" s="1"/>
  <c r="F1110" i="13"/>
  <c r="G1110" i="13" s="1"/>
  <c r="F1109" i="13"/>
  <c r="G1109" i="13" s="1"/>
  <c r="F1108" i="13"/>
  <c r="G1108" i="13" s="1"/>
  <c r="G1097" i="13"/>
  <c r="G1096" i="13"/>
  <c r="G1095" i="13"/>
  <c r="G1094" i="13"/>
  <c r="G1093" i="13"/>
  <c r="G1092" i="13"/>
  <c r="F1068" i="13"/>
  <c r="G1025" i="13"/>
  <c r="G1024" i="13"/>
  <c r="G1023" i="13"/>
  <c r="G1022" i="13"/>
  <c r="G1021" i="13"/>
  <c r="G1020" i="13"/>
  <c r="G1001" i="13"/>
  <c r="G1000" i="13"/>
  <c r="G999" i="13"/>
  <c r="G998" i="13"/>
  <c r="G997" i="13"/>
  <c r="G996" i="13"/>
  <c r="F972" i="13"/>
  <c r="G937" i="13"/>
  <c r="G936" i="13"/>
  <c r="G935" i="13"/>
  <c r="G934" i="13"/>
  <c r="G933" i="13"/>
  <c r="G932" i="13"/>
  <c r="G921" i="13"/>
  <c r="G920" i="13"/>
  <c r="G919" i="13"/>
  <c r="G918" i="13"/>
  <c r="G917" i="13"/>
  <c r="G916" i="13"/>
  <c r="G905" i="13"/>
  <c r="G904" i="13"/>
  <c r="G903" i="13"/>
  <c r="G902" i="13"/>
  <c r="G901" i="13"/>
  <c r="G900" i="13"/>
  <c r="G852" i="13"/>
  <c r="G857" i="13"/>
  <c r="G856" i="13"/>
  <c r="G855" i="13"/>
  <c r="G854" i="13"/>
  <c r="G853" i="13"/>
  <c r="F833" i="13"/>
  <c r="G833" i="13" s="1"/>
  <c r="F832" i="13"/>
  <c r="G832" i="13" s="1"/>
  <c r="F831" i="13"/>
  <c r="G831" i="13" s="1"/>
  <c r="F830" i="13"/>
  <c r="G830" i="13" s="1"/>
  <c r="F829" i="13"/>
  <c r="G829" i="13" s="1"/>
  <c r="F828" i="13"/>
  <c r="G828" i="13" s="1"/>
  <c r="G628" i="13" l="1"/>
  <c r="F668" i="13"/>
  <c r="F676" i="13"/>
  <c r="G676" i="13" s="1"/>
  <c r="G633" i="13"/>
  <c r="G632" i="13"/>
  <c r="G631" i="13"/>
  <c r="G630" i="13"/>
  <c r="G629" i="13"/>
  <c r="G596" i="13"/>
  <c r="G588" i="13"/>
  <c r="G601" i="13"/>
  <c r="G600" i="13"/>
  <c r="G599" i="13"/>
  <c r="G598" i="13"/>
  <c r="G597" i="13"/>
  <c r="G593" i="13"/>
  <c r="G592" i="13"/>
  <c r="G591" i="13"/>
  <c r="G590" i="13"/>
  <c r="G589" i="13"/>
  <c r="F121" i="13"/>
  <c r="G121" i="13" s="1"/>
  <c r="F120" i="13"/>
  <c r="G120" i="13" s="1"/>
  <c r="F119" i="13"/>
  <c r="G119" i="13" s="1"/>
  <c r="F118" i="13"/>
  <c r="G118" i="13" s="1"/>
  <c r="F117" i="13"/>
  <c r="G117" i="13" s="1"/>
  <c r="F116" i="13"/>
  <c r="G116" i="13" s="1"/>
  <c r="G361" i="13"/>
  <c r="G360" i="13"/>
  <c r="G359" i="13"/>
  <c r="G358" i="13"/>
  <c r="G357" i="13"/>
  <c r="G356" i="13"/>
  <c r="G417" i="13"/>
  <c r="G416" i="13"/>
  <c r="G415" i="13"/>
  <c r="G414" i="13"/>
  <c r="G413" i="13"/>
  <c r="G412" i="13"/>
  <c r="G441" i="13"/>
  <c r="G440" i="13"/>
  <c r="G439" i="13"/>
  <c r="G438" i="13"/>
  <c r="G437" i="13"/>
  <c r="G436" i="13"/>
  <c r="G345" i="13" l="1"/>
  <c r="G344" i="13"/>
  <c r="G343" i="13"/>
  <c r="G342" i="13"/>
  <c r="G341" i="13"/>
  <c r="G340" i="13"/>
  <c r="G313" i="13"/>
  <c r="G312" i="13"/>
  <c r="G311" i="13"/>
  <c r="G310" i="13"/>
  <c r="G309" i="13"/>
  <c r="G308" i="13"/>
  <c r="F36" i="13"/>
  <c r="G36" i="13" s="1"/>
  <c r="F39" i="13"/>
  <c r="G39" i="13" s="1"/>
  <c r="F40" i="13"/>
  <c r="G40" i="13" s="1"/>
  <c r="F41" i="13"/>
  <c r="G41" i="13" s="1"/>
  <c r="F44" i="13"/>
  <c r="G44" i="13" s="1"/>
  <c r="F45" i="13"/>
  <c r="G45" i="13" s="1"/>
  <c r="F46" i="13"/>
  <c r="G46" i="13" s="1"/>
  <c r="F47" i="13"/>
  <c r="G47" i="13" s="1"/>
  <c r="F48" i="13"/>
  <c r="G48" i="13" s="1"/>
  <c r="F49" i="13"/>
  <c r="G49" i="13" s="1"/>
  <c r="F68" i="13"/>
  <c r="G68" i="13" s="1"/>
  <c r="F69" i="13"/>
  <c r="G69" i="13" s="1"/>
  <c r="F70" i="13"/>
  <c r="G70" i="13" s="1"/>
  <c r="F71" i="13"/>
  <c r="G71" i="13" s="1"/>
  <c r="F72" i="13"/>
  <c r="G72" i="13" s="1"/>
  <c r="F73" i="13"/>
  <c r="G73" i="13" s="1"/>
  <c r="G76" i="13"/>
  <c r="G77" i="13"/>
  <c r="G78" i="13"/>
  <c r="G79" i="13"/>
  <c r="G80" i="13"/>
  <c r="G81" i="13"/>
  <c r="G84" i="13"/>
  <c r="G85" i="13"/>
  <c r="G86" i="13"/>
  <c r="G87" i="13"/>
  <c r="G88" i="13"/>
  <c r="G89" i="13"/>
  <c r="G92" i="13"/>
  <c r="G93" i="13"/>
  <c r="G94" i="13"/>
  <c r="G95" i="13"/>
  <c r="G96" i="13"/>
  <c r="G97" i="13"/>
  <c r="G100" i="13"/>
  <c r="G101" i="13"/>
  <c r="G102" i="13"/>
  <c r="G103" i="13"/>
  <c r="G104" i="13"/>
  <c r="G105" i="13"/>
  <c r="G124" i="13"/>
  <c r="G125" i="13"/>
  <c r="G126" i="13"/>
  <c r="G127" i="13"/>
  <c r="G128" i="13"/>
  <c r="G129" i="13"/>
  <c r="G148" i="13"/>
  <c r="G149" i="13"/>
  <c r="G150" i="13"/>
  <c r="G151" i="13"/>
  <c r="G152" i="13"/>
  <c r="G153" i="13"/>
  <c r="G156" i="13"/>
  <c r="G157" i="13"/>
  <c r="G158" i="13"/>
  <c r="G159" i="13"/>
  <c r="G160" i="13"/>
  <c r="G161" i="13"/>
  <c r="G172" i="13"/>
  <c r="G173" i="13"/>
  <c r="G174" i="13"/>
  <c r="G175" i="13"/>
  <c r="G176" i="13"/>
  <c r="G177" i="13"/>
  <c r="G180" i="13"/>
  <c r="G181" i="13"/>
  <c r="G182" i="13"/>
  <c r="G183" i="13"/>
  <c r="G184" i="13"/>
  <c r="G185" i="13"/>
  <c r="G188" i="13"/>
  <c r="F189" i="13"/>
  <c r="G189" i="13" s="1"/>
  <c r="F190" i="13"/>
  <c r="G190" i="13" s="1"/>
  <c r="F191" i="13"/>
  <c r="G191" i="13" s="1"/>
  <c r="F192" i="13"/>
  <c r="G192" i="13" s="1"/>
  <c r="F193" i="13"/>
  <c r="G193" i="13" s="1"/>
  <c r="G252" i="13"/>
  <c r="G253" i="13"/>
  <c r="G254" i="13"/>
  <c r="G255" i="13"/>
  <c r="G256" i="13"/>
  <c r="G257" i="13"/>
  <c r="F300" i="13"/>
  <c r="G300" i="13" s="1"/>
  <c r="F301" i="13"/>
  <c r="G301" i="13" s="1"/>
  <c r="F302" i="13"/>
  <c r="G302" i="13" s="1"/>
  <c r="F303" i="13"/>
  <c r="G303" i="13" s="1"/>
  <c r="F304" i="13"/>
  <c r="G304" i="13" s="1"/>
  <c r="F305" i="13"/>
  <c r="G305" i="13" s="1"/>
  <c r="G316" i="13"/>
  <c r="G317" i="13"/>
  <c r="G318" i="13"/>
  <c r="G319" i="13"/>
  <c r="G320" i="13"/>
  <c r="G321" i="13"/>
  <c r="G324" i="13"/>
  <c r="G325" i="13"/>
  <c r="G326" i="13"/>
  <c r="G327" i="13"/>
  <c r="G328" i="13"/>
  <c r="G329" i="13"/>
  <c r="G332" i="13"/>
  <c r="G333" i="13"/>
  <c r="G334" i="13"/>
  <c r="G335" i="13"/>
  <c r="G336" i="13"/>
  <c r="G337" i="13"/>
  <c r="G348" i="13"/>
  <c r="G349" i="13"/>
  <c r="G350" i="13"/>
  <c r="G351" i="13"/>
  <c r="G353" i="13"/>
  <c r="G364" i="13"/>
  <c r="G365" i="13"/>
  <c r="G366" i="13"/>
  <c r="G367" i="13"/>
  <c r="G368" i="13"/>
  <c r="G369" i="13"/>
  <c r="G372" i="13"/>
  <c r="G373" i="13"/>
  <c r="G374" i="13"/>
  <c r="G375" i="13"/>
  <c r="G376" i="13"/>
  <c r="G377" i="13"/>
  <c r="G380" i="13"/>
  <c r="G381" i="13"/>
  <c r="G382" i="13"/>
  <c r="G383" i="13"/>
  <c r="G384" i="13"/>
  <c r="G385" i="13"/>
  <c r="G388" i="13"/>
  <c r="G389" i="13"/>
  <c r="G390" i="13"/>
  <c r="G391" i="13"/>
  <c r="G392" i="13"/>
  <c r="G393" i="13"/>
  <c r="G396" i="13"/>
  <c r="G397" i="13"/>
  <c r="G398" i="13"/>
  <c r="G399" i="13"/>
  <c r="G400" i="13"/>
  <c r="G401" i="13"/>
  <c r="G404" i="13"/>
  <c r="G405" i="13"/>
  <c r="G406" i="13"/>
  <c r="G407" i="13"/>
  <c r="G408" i="13"/>
  <c r="G409" i="13"/>
  <c r="F420" i="13"/>
  <c r="G420" i="13" s="1"/>
  <c r="F421" i="13"/>
  <c r="G421" i="13" s="1"/>
  <c r="F422" i="13"/>
  <c r="G422" i="13" s="1"/>
  <c r="F423" i="13"/>
  <c r="G423" i="13" s="1"/>
  <c r="F424" i="13"/>
  <c r="G424" i="13" s="1"/>
  <c r="F425" i="13"/>
  <c r="G425" i="13" s="1"/>
  <c r="G428" i="13"/>
  <c r="G429" i="13"/>
  <c r="G430" i="13"/>
  <c r="G431" i="13"/>
  <c r="G432" i="13"/>
  <c r="G433" i="13"/>
  <c r="G444" i="13"/>
  <c r="G445" i="13"/>
  <c r="G446" i="13"/>
  <c r="G447" i="13"/>
  <c r="G448" i="13"/>
  <c r="G449" i="13"/>
  <c r="G452" i="13"/>
  <c r="G453" i="13"/>
  <c r="G454" i="13"/>
  <c r="G455" i="13"/>
  <c r="G456" i="13"/>
  <c r="G457" i="13"/>
  <c r="G460" i="13"/>
  <c r="G461" i="13"/>
  <c r="G462" i="13"/>
  <c r="G463" i="13"/>
  <c r="G464" i="13"/>
  <c r="G465" i="13"/>
  <c r="G468" i="13"/>
  <c r="G469" i="13"/>
  <c r="G470" i="13"/>
  <c r="G471" i="13"/>
  <c r="G472" i="13"/>
  <c r="G473" i="13"/>
  <c r="G476" i="13"/>
  <c r="G477" i="13"/>
  <c r="G478" i="13"/>
  <c r="G479" i="13"/>
  <c r="G480" i="13"/>
  <c r="G481" i="13"/>
  <c r="G484" i="13"/>
  <c r="G485" i="13"/>
  <c r="G486" i="13"/>
  <c r="G487" i="13"/>
  <c r="G488" i="13"/>
  <c r="G489" i="13"/>
  <c r="G492" i="13"/>
  <c r="G493" i="13"/>
  <c r="G494" i="13"/>
  <c r="G495" i="13"/>
  <c r="G496" i="13"/>
  <c r="G497" i="13"/>
  <c r="G508" i="13"/>
  <c r="G509" i="13"/>
  <c r="G510" i="13"/>
  <c r="G511" i="13"/>
  <c r="G512" i="13"/>
  <c r="G513" i="13"/>
  <c r="G516" i="13"/>
  <c r="G517" i="13"/>
  <c r="G518" i="13"/>
  <c r="G519" i="13"/>
  <c r="G520" i="13"/>
  <c r="G521" i="13"/>
  <c r="G524" i="13"/>
  <c r="G525" i="13"/>
  <c r="G526" i="13"/>
  <c r="G527" i="13"/>
  <c r="G528" i="13"/>
  <c r="G529" i="13"/>
  <c r="G532" i="13"/>
  <c r="G533" i="13"/>
  <c r="G534" i="13"/>
  <c r="G535" i="13"/>
  <c r="G536" i="13"/>
  <c r="G537" i="13"/>
  <c r="G540" i="13"/>
  <c r="G541" i="13"/>
  <c r="G542" i="13"/>
  <c r="G543" i="13"/>
  <c r="G544" i="13"/>
  <c r="G545" i="13"/>
  <c r="G548" i="13"/>
  <c r="G549" i="13"/>
  <c r="G550" i="13"/>
  <c r="G551" i="13"/>
  <c r="G552" i="13"/>
  <c r="G556" i="13"/>
  <c r="G557" i="13"/>
  <c r="G558" i="13"/>
  <c r="G559" i="13"/>
  <c r="G560" i="13"/>
  <c r="G561" i="13"/>
  <c r="G564" i="13"/>
  <c r="G565" i="13"/>
  <c r="G566" i="13"/>
  <c r="G567" i="13"/>
  <c r="G568" i="13"/>
  <c r="G569" i="13"/>
  <c r="G572" i="13"/>
  <c r="G573" i="13"/>
  <c r="G574" i="13"/>
  <c r="G575" i="13"/>
  <c r="G576" i="13"/>
  <c r="G577" i="13"/>
  <c r="G580" i="13"/>
  <c r="G581" i="13"/>
  <c r="G582" i="13"/>
  <c r="G583" i="13"/>
  <c r="G584" i="13"/>
  <c r="G585" i="13"/>
  <c r="G604" i="13"/>
  <c r="G605" i="13"/>
  <c r="G606" i="13"/>
  <c r="G607" i="13"/>
  <c r="G608" i="13"/>
  <c r="G609" i="13"/>
  <c r="G612" i="13"/>
  <c r="G613" i="13"/>
  <c r="G614" i="13"/>
  <c r="G615" i="13"/>
  <c r="G616" i="13"/>
  <c r="G617" i="13"/>
  <c r="G620" i="13"/>
  <c r="G621" i="13"/>
  <c r="G622" i="13"/>
  <c r="G623" i="13"/>
  <c r="G624" i="13"/>
  <c r="G625" i="13"/>
  <c r="G636" i="13"/>
  <c r="G637" i="13"/>
  <c r="G638" i="13"/>
  <c r="G639" i="13"/>
  <c r="G640" i="13"/>
  <c r="G641" i="13"/>
  <c r="G644" i="13"/>
  <c r="G645" i="13"/>
  <c r="G646" i="13"/>
  <c r="G647" i="13"/>
  <c r="G648" i="13"/>
  <c r="G649" i="13"/>
  <c r="G652" i="13"/>
  <c r="G653" i="13"/>
  <c r="G654" i="13"/>
  <c r="G655" i="13"/>
  <c r="G656" i="13"/>
  <c r="G657" i="13"/>
  <c r="G660" i="13"/>
  <c r="G661" i="13"/>
  <c r="G662" i="13"/>
  <c r="G663" i="13"/>
  <c r="G664" i="13"/>
  <c r="G665" i="13"/>
  <c r="G668" i="13"/>
  <c r="F669" i="13"/>
  <c r="G669" i="13" s="1"/>
  <c r="F670" i="13"/>
  <c r="G670" i="13" s="1"/>
  <c r="F671" i="13"/>
  <c r="G671" i="13" s="1"/>
  <c r="F672" i="13"/>
  <c r="G672" i="13" s="1"/>
  <c r="F673" i="13"/>
  <c r="G673" i="13" s="1"/>
  <c r="F677" i="13"/>
  <c r="G677" i="13" s="1"/>
  <c r="F678" i="13"/>
  <c r="G678" i="13" s="1"/>
  <c r="F679" i="13"/>
  <c r="G679" i="13" s="1"/>
  <c r="F680" i="13"/>
  <c r="G680" i="13" s="1"/>
  <c r="F681" i="13"/>
  <c r="G681" i="13" s="1"/>
  <c r="G764" i="13"/>
  <c r="G765" i="13"/>
  <c r="G766" i="13"/>
  <c r="G767" i="13"/>
  <c r="G768" i="13"/>
  <c r="G769" i="13"/>
  <c r="G772" i="13"/>
  <c r="G773" i="13"/>
  <c r="G774" i="13"/>
  <c r="G775" i="13"/>
  <c r="G776" i="13"/>
  <c r="G777" i="13"/>
  <c r="G780" i="13"/>
  <c r="G781" i="13"/>
  <c r="G782" i="13"/>
  <c r="G783" i="13"/>
  <c r="G784" i="13"/>
  <c r="G785" i="13"/>
  <c r="G788" i="13"/>
  <c r="G789" i="13"/>
  <c r="G790" i="13"/>
  <c r="G791" i="13"/>
  <c r="G792" i="13"/>
  <c r="G793" i="13"/>
  <c r="G796" i="13"/>
  <c r="G797" i="13"/>
  <c r="G798" i="13"/>
  <c r="G799" i="13"/>
  <c r="G800" i="13"/>
  <c r="G801" i="13"/>
  <c r="G804" i="13"/>
  <c r="G805" i="13"/>
  <c r="G806" i="13"/>
  <c r="G807" i="13"/>
  <c r="G808" i="13"/>
  <c r="G809" i="13"/>
  <c r="G812" i="13"/>
  <c r="G813" i="13"/>
  <c r="G814" i="13"/>
  <c r="G815" i="13"/>
  <c r="G816" i="13"/>
  <c r="G817" i="13"/>
  <c r="G820" i="13"/>
  <c r="G821" i="13"/>
  <c r="G822" i="13"/>
  <c r="G823" i="13"/>
  <c r="G824" i="13"/>
  <c r="G825" i="13"/>
  <c r="G836" i="13"/>
  <c r="G837" i="13"/>
  <c r="G838" i="13"/>
  <c r="G839" i="13"/>
  <c r="G840" i="13"/>
  <c r="G841" i="13"/>
  <c r="G844" i="13"/>
  <c r="G845" i="13"/>
  <c r="G846" i="13"/>
  <c r="G847" i="13"/>
  <c r="G848" i="13"/>
  <c r="G849" i="13"/>
  <c r="G860" i="13"/>
  <c r="G861" i="13"/>
  <c r="G862" i="13"/>
  <c r="G863" i="13"/>
  <c r="G864" i="13"/>
  <c r="G865" i="13"/>
  <c r="G868" i="13"/>
  <c r="G869" i="13"/>
  <c r="G870" i="13"/>
  <c r="G871" i="13"/>
  <c r="G872" i="13"/>
  <c r="G873" i="13"/>
  <c r="G876" i="13"/>
  <c r="G877" i="13"/>
  <c r="G878" i="13"/>
  <c r="G879" i="13"/>
  <c r="G880" i="13"/>
  <c r="G881" i="13"/>
  <c r="G884" i="13"/>
  <c r="G885" i="13"/>
  <c r="G886" i="13"/>
  <c r="G887" i="13"/>
  <c r="G888" i="13"/>
  <c r="G889" i="13"/>
  <c r="G892" i="13"/>
  <c r="G893" i="13"/>
  <c r="G894" i="13"/>
  <c r="G895" i="13"/>
  <c r="G896" i="13"/>
  <c r="G897" i="13"/>
  <c r="G908" i="13"/>
  <c r="G909" i="13"/>
  <c r="G910" i="13"/>
  <c r="G911" i="13"/>
  <c r="G912" i="13"/>
  <c r="G913" i="13"/>
  <c r="G924" i="13"/>
  <c r="G925" i="13"/>
  <c r="G926" i="13"/>
  <c r="G927" i="13"/>
  <c r="G928" i="13"/>
  <c r="G929" i="13"/>
  <c r="G940" i="13"/>
  <c r="G941" i="13"/>
  <c r="G942" i="13"/>
  <c r="G943" i="13"/>
  <c r="G944" i="13"/>
  <c r="G945" i="13"/>
  <c r="G948" i="13"/>
  <c r="G949" i="13"/>
  <c r="G950" i="13"/>
  <c r="G951" i="13"/>
  <c r="G952" i="13"/>
  <c r="G953" i="13"/>
  <c r="G956" i="13"/>
  <c r="G957" i="13"/>
  <c r="G958" i="13"/>
  <c r="G959" i="13"/>
  <c r="G960" i="13"/>
  <c r="G961" i="13"/>
  <c r="G964" i="13"/>
  <c r="G965" i="13"/>
  <c r="G966" i="13"/>
  <c r="G967" i="13"/>
  <c r="G968" i="13"/>
  <c r="G969" i="13"/>
  <c r="G972" i="13"/>
  <c r="F973" i="13"/>
  <c r="G973" i="13" s="1"/>
  <c r="F974" i="13"/>
  <c r="G974" i="13" s="1"/>
  <c r="F975" i="13"/>
  <c r="G975" i="13" s="1"/>
  <c r="F976" i="13"/>
  <c r="G976" i="13" s="1"/>
  <c r="F977" i="13"/>
  <c r="G977" i="13" s="1"/>
  <c r="G980" i="13"/>
  <c r="G981" i="13"/>
  <c r="G982" i="13"/>
  <c r="G983" i="13"/>
  <c r="G984" i="13"/>
  <c r="G985" i="13"/>
  <c r="G988" i="13"/>
  <c r="G989" i="13"/>
  <c r="G990" i="13"/>
  <c r="G991" i="13"/>
  <c r="G992" i="13"/>
  <c r="G993" i="13"/>
  <c r="G1004" i="13"/>
  <c r="G1005" i="13"/>
  <c r="G1006" i="13"/>
  <c r="G1007" i="13"/>
  <c r="G1008" i="13"/>
  <c r="G1009" i="13"/>
  <c r="G1012" i="13"/>
  <c r="G1013" i="13"/>
  <c r="G1014" i="13"/>
  <c r="G1015" i="13"/>
  <c r="G1016" i="13"/>
  <c r="G1017" i="13"/>
  <c r="G1028" i="13"/>
  <c r="G1029" i="13"/>
  <c r="G1030" i="13"/>
  <c r="G1031" i="13"/>
  <c r="G1032" i="13"/>
  <c r="G1033" i="13"/>
  <c r="G1036" i="13"/>
  <c r="G1037" i="13"/>
  <c r="G1038" i="13"/>
  <c r="G1039" i="13"/>
  <c r="G1040" i="13"/>
  <c r="G1041" i="13"/>
  <c r="G1044" i="13"/>
  <c r="G1045" i="13"/>
  <c r="G1046" i="13"/>
  <c r="G1047" i="13"/>
  <c r="G1048" i="13"/>
  <c r="G1049" i="13"/>
  <c r="G1052" i="13"/>
  <c r="G1053" i="13"/>
  <c r="G1054" i="13"/>
  <c r="G1055" i="13"/>
  <c r="G1056" i="13"/>
  <c r="G1057" i="13"/>
  <c r="G1060" i="13"/>
  <c r="G1061" i="13"/>
  <c r="G1062" i="13"/>
  <c r="G1063" i="13"/>
  <c r="G1064" i="13"/>
  <c r="G1065" i="13"/>
  <c r="G1068" i="13"/>
  <c r="F1069" i="13"/>
  <c r="G1069" i="13" s="1"/>
  <c r="F1070" i="13"/>
  <c r="G1070" i="13" s="1"/>
  <c r="F1071" i="13"/>
  <c r="G1071" i="13" s="1"/>
  <c r="F1072" i="13"/>
  <c r="G1072" i="13" s="1"/>
  <c r="F1073" i="13"/>
  <c r="G1073" i="13" s="1"/>
  <c r="G1076" i="13"/>
  <c r="G1077" i="13"/>
  <c r="G1078" i="13"/>
  <c r="G1079" i="13"/>
  <c r="G1080" i="13"/>
  <c r="G1081" i="13"/>
  <c r="G1084" i="13"/>
  <c r="G1085" i="13"/>
  <c r="G1086" i="13"/>
  <c r="G1087" i="13"/>
  <c r="G1088" i="13"/>
  <c r="G1089" i="13"/>
  <c r="G1100" i="13"/>
  <c r="G1101" i="13"/>
  <c r="G1102" i="13"/>
  <c r="G1103" i="13"/>
  <c r="G1104" i="13"/>
  <c r="G1105" i="13"/>
  <c r="G1116" i="13"/>
  <c r="F1117" i="13"/>
  <c r="G1117" i="13" s="1"/>
  <c r="F1118" i="13"/>
  <c r="G1118" i="13" s="1"/>
  <c r="F1119" i="13"/>
  <c r="G1119" i="13" s="1"/>
  <c r="F1120" i="13"/>
  <c r="G1120" i="13" s="1"/>
  <c r="F1121" i="13"/>
  <c r="G1121" i="13" s="1"/>
  <c r="G1124" i="13"/>
  <c r="F1125" i="13"/>
  <c r="G1125" i="13" s="1"/>
  <c r="F1126" i="13"/>
  <c r="G1126" i="13" s="1"/>
  <c r="F1127" i="13"/>
  <c r="G1127" i="13" s="1"/>
  <c r="F1128" i="13"/>
  <c r="G1128" i="13" s="1"/>
  <c r="F1129" i="13"/>
  <c r="G1129" i="13" s="1"/>
  <c r="G1132" i="13"/>
  <c r="G1133" i="13"/>
  <c r="G1134" i="13"/>
  <c r="G1135" i="13"/>
  <c r="G1136" i="13"/>
  <c r="G1137" i="13"/>
  <c r="G1140" i="13"/>
  <c r="G1141" i="13"/>
  <c r="G1142" i="13"/>
  <c r="G1143" i="13"/>
  <c r="G1144" i="13"/>
  <c r="G1145" i="13"/>
  <c r="G1148" i="13"/>
  <c r="G1149" i="13"/>
  <c r="G1150" i="13"/>
  <c r="G1151" i="13"/>
  <c r="G1152" i="13"/>
  <c r="G1153" i="13"/>
  <c r="G1156" i="13"/>
  <c r="G1157" i="13"/>
  <c r="G1158" i="13"/>
  <c r="G1159" i="13"/>
  <c r="G1160" i="13"/>
  <c r="G1161" i="13"/>
  <c r="G1164" i="13"/>
  <c r="G1165" i="13"/>
  <c r="G1166" i="13"/>
  <c r="G1167" i="13"/>
  <c r="G1168" i="13"/>
  <c r="G1169" i="13"/>
  <c r="G1172" i="13"/>
  <c r="G1173" i="13"/>
  <c r="G1174" i="13"/>
  <c r="G1175" i="13"/>
  <c r="G1176" i="13"/>
  <c r="G1177" i="13"/>
  <c r="G1188" i="13"/>
  <c r="G1189" i="13"/>
  <c r="G1190" i="13"/>
  <c r="G1191" i="13"/>
  <c r="G1192" i="13"/>
  <c r="G1193" i="13"/>
  <c r="G1196" i="13"/>
  <c r="G1197" i="13"/>
  <c r="G1198" i="13"/>
  <c r="G1199" i="13"/>
  <c r="G1200" i="13"/>
  <c r="G1201" i="13"/>
  <c r="G1204" i="13"/>
  <c r="G1205" i="13"/>
  <c r="G1206" i="13"/>
  <c r="G1207" i="13"/>
  <c r="G1208" i="13"/>
  <c r="G1209" i="13"/>
  <c r="G1212" i="13"/>
  <c r="G1213" i="13"/>
  <c r="G1214" i="13"/>
  <c r="G1215" i="13"/>
  <c r="G1216" i="13"/>
  <c r="G1217" i="13"/>
  <c r="G1220" i="13"/>
  <c r="G1221" i="13"/>
  <c r="G1222" i="13"/>
  <c r="G1223" i="13"/>
  <c r="G1224" i="13"/>
  <c r="G1225" i="13"/>
  <c r="G1228" i="13"/>
  <c r="G1229" i="13"/>
  <c r="G1230" i="13"/>
  <c r="G1231" i="13"/>
  <c r="G1232" i="13"/>
  <c r="G1233" i="13"/>
  <c r="G1236" i="13"/>
  <c r="G1237" i="13"/>
  <c r="G1238" i="13"/>
  <c r="G1239" i="13"/>
  <c r="G1240" i="13"/>
  <c r="G1241" i="13"/>
  <c r="G1244" i="13"/>
  <c r="G1245" i="13"/>
  <c r="G1246" i="13"/>
  <c r="G1247" i="13"/>
  <c r="G1248" i="13"/>
  <c r="G1249" i="13"/>
  <c r="G1252" i="13"/>
  <c r="G1253" i="13"/>
  <c r="G1254" i="13"/>
  <c r="G1255" i="13"/>
  <c r="G1256" i="13"/>
  <c r="G1257" i="13"/>
  <c r="G1260" i="13"/>
  <c r="G1261" i="13"/>
  <c r="G1262" i="13"/>
  <c r="G1263" i="13"/>
  <c r="G1264" i="13"/>
  <c r="G1265" i="13"/>
  <c r="G1268" i="13"/>
  <c r="G1269" i="13"/>
  <c r="G1270" i="13"/>
  <c r="G1271" i="13"/>
  <c r="G1272" i="13"/>
  <c r="G1273" i="13"/>
  <c r="G1276" i="13"/>
  <c r="G1277" i="13"/>
  <c r="G1278" i="13"/>
  <c r="G1279" i="13"/>
  <c r="G1280" i="13"/>
  <c r="G1281" i="13"/>
  <c r="G1284" i="13"/>
  <c r="G1285" i="13"/>
  <c r="G1286" i="13"/>
  <c r="G1287" i="13"/>
  <c r="G1288" i="13"/>
  <c r="G1289" i="13"/>
  <c r="G1292" i="13"/>
  <c r="F1293" i="13"/>
  <c r="G1293" i="13" s="1"/>
  <c r="F1294" i="13"/>
  <c r="G1294" i="13" s="1"/>
  <c r="F1295" i="13"/>
  <c r="G1295" i="13" s="1"/>
  <c r="F1296" i="13"/>
  <c r="G1296" i="13" s="1"/>
  <c r="F1297" i="13"/>
  <c r="G1297" i="13" s="1"/>
  <c r="G1300" i="13"/>
  <c r="G1301" i="13"/>
  <c r="G1302" i="13"/>
  <c r="G1303" i="13"/>
  <c r="G1304" i="13"/>
  <c r="G1305" i="13"/>
  <c r="G1308" i="13"/>
  <c r="G1309" i="13"/>
  <c r="G1310" i="13"/>
  <c r="G1311" i="13"/>
  <c r="G1312" i="13"/>
  <c r="G1313" i="13"/>
  <c r="G1316" i="13"/>
  <c r="G1317" i="13"/>
  <c r="G1318" i="13"/>
  <c r="G1319" i="13"/>
  <c r="G1320" i="13"/>
  <c r="G1321" i="13"/>
  <c r="G1324" i="13"/>
  <c r="G1325" i="13"/>
  <c r="G1326" i="13"/>
  <c r="G1327" i="13"/>
  <c r="G1328" i="13"/>
  <c r="G1329" i="13"/>
  <c r="G1332" i="13"/>
  <c r="G1333" i="13"/>
  <c r="G1334" i="13"/>
  <c r="G1335" i="13"/>
  <c r="G1336" i="13"/>
  <c r="G1337" i="13"/>
  <c r="G1340" i="13"/>
  <c r="G1341" i="13"/>
  <c r="G1342" i="13"/>
  <c r="G1343" i="13"/>
  <c r="G1344" i="13"/>
  <c r="G1345" i="13"/>
  <c r="G1348" i="13"/>
  <c r="G1349" i="13"/>
  <c r="G1350" i="13"/>
  <c r="G1351" i="13"/>
  <c r="G1352" i="13"/>
  <c r="G1353" i="13"/>
  <c r="G1356" i="13"/>
  <c r="G1357" i="13"/>
  <c r="G1358" i="13"/>
  <c r="G1359" i="13"/>
  <c r="G1360" i="13"/>
  <c r="G1361" i="13"/>
  <c r="G1364" i="13"/>
  <c r="G1365" i="13"/>
  <c r="G1366" i="13"/>
  <c r="G1367" i="13"/>
  <c r="G1368" i="13"/>
  <c r="G1369" i="13"/>
  <c r="G1372" i="13"/>
  <c r="G1373" i="13"/>
  <c r="G1374" i="13"/>
  <c r="G1375" i="13"/>
  <c r="G1376" i="13"/>
  <c r="G1377" i="13"/>
  <c r="G1380" i="13"/>
  <c r="G1381" i="13"/>
  <c r="G1382" i="13"/>
  <c r="G1383" i="13"/>
  <c r="G1384" i="13"/>
  <c r="G1385" i="13"/>
  <c r="G1388" i="13"/>
  <c r="G1389" i="13"/>
  <c r="G1390" i="13"/>
  <c r="G1391" i="13"/>
  <c r="G1392" i="13"/>
  <c r="G1393" i="13"/>
  <c r="G1396" i="13"/>
  <c r="G1397" i="13"/>
  <c r="G1398" i="13"/>
  <c r="G1399" i="13"/>
  <c r="G1400" i="13"/>
  <c r="G1401" i="13"/>
  <c r="G1404" i="13"/>
  <c r="G1405" i="13"/>
  <c r="G1406" i="13"/>
  <c r="G1407" i="13"/>
  <c r="G1408" i="13"/>
  <c r="G1409" i="13"/>
  <c r="G1412" i="13"/>
  <c r="G1413" i="13"/>
  <c r="G1414" i="13"/>
  <c r="G1415" i="13"/>
  <c r="G1416" i="13"/>
  <c r="G1417" i="13"/>
  <c r="G1420" i="13"/>
  <c r="G1421" i="13"/>
  <c r="G1422" i="13"/>
  <c r="G1423" i="13"/>
  <c r="G1424" i="13"/>
  <c r="G1425" i="13"/>
  <c r="G1428" i="13"/>
  <c r="G1429" i="13"/>
  <c r="G1430" i="13"/>
  <c r="G1431" i="13"/>
  <c r="G1432" i="13"/>
  <c r="G1433" i="13"/>
  <c r="G1436" i="13"/>
  <c r="G1437" i="13"/>
  <c r="G1438" i="13"/>
  <c r="G1439" i="13"/>
  <c r="G1440" i="13"/>
  <c r="G1441" i="13"/>
  <c r="G1444" i="13"/>
  <c r="G1445" i="13"/>
  <c r="G1446" i="13"/>
  <c r="G1447" i="13"/>
  <c r="G1448" i="13"/>
  <c r="G1449" i="13"/>
  <c r="G1460" i="13"/>
  <c r="G1461" i="13"/>
  <c r="G1462" i="13"/>
  <c r="G1463" i="13"/>
  <c r="G1464" i="13"/>
  <c r="G1465" i="13"/>
  <c r="G1468" i="13"/>
  <c r="G1469" i="13"/>
  <c r="G1470" i="13"/>
  <c r="G1471" i="13"/>
  <c r="G1472" i="13"/>
  <c r="G1473" i="13"/>
  <c r="G1476" i="13"/>
  <c r="G1477" i="13"/>
  <c r="G1478" i="13"/>
  <c r="G1479" i="13"/>
  <c r="G1480" i="13"/>
  <c r="G1481" i="13"/>
  <c r="G1484" i="13"/>
  <c r="G1485" i="13"/>
  <c r="G1486" i="13"/>
  <c r="G1487" i="13"/>
  <c r="G1488" i="13"/>
  <c r="G1489" i="13"/>
  <c r="G1492" i="13"/>
  <c r="G1493" i="13"/>
  <c r="G1494" i="13"/>
  <c r="G1495" i="13"/>
  <c r="G1496" i="13"/>
  <c r="G1497" i="13"/>
  <c r="G1500" i="13"/>
  <c r="G1501" i="13"/>
  <c r="G1502" i="13"/>
  <c r="G1503" i="13"/>
  <c r="G1504" i="13"/>
  <c r="G1505" i="13"/>
  <c r="G1508" i="13"/>
  <c r="G1509" i="13"/>
  <c r="G1510" i="13"/>
  <c r="G1511" i="13"/>
  <c r="G1512" i="13"/>
  <c r="G1513" i="13"/>
  <c r="G1516" i="13"/>
  <c r="G1517" i="13"/>
  <c r="G1518" i="13"/>
  <c r="G1519" i="13"/>
  <c r="G1520" i="13"/>
  <c r="G1521" i="13"/>
  <c r="G1524" i="13"/>
  <c r="G1525" i="13"/>
  <c r="G1526" i="13"/>
  <c r="G1527" i="13"/>
  <c r="G1528" i="13"/>
  <c r="G1529" i="13"/>
  <c r="G1532" i="13"/>
  <c r="G1533" i="13"/>
  <c r="G1534" i="13"/>
  <c r="G1535" i="13"/>
  <c r="G1536" i="13"/>
  <c r="G1537" i="13"/>
  <c r="G1540" i="13"/>
  <c r="L39" i="13" s="1"/>
  <c r="N39" i="13" s="1"/>
  <c r="G1541" i="13"/>
  <c r="G1542" i="13"/>
  <c r="G1543" i="13"/>
  <c r="G1544" i="13"/>
  <c r="G1545" i="13"/>
  <c r="G1548" i="13"/>
  <c r="G1549" i="13"/>
  <c r="G1550" i="13"/>
  <c r="G1551" i="13"/>
  <c r="G1552" i="13"/>
  <c r="G1553" i="13"/>
  <c r="G1556" i="13"/>
  <c r="G1557" i="13"/>
  <c r="G1558" i="13"/>
  <c r="G1559" i="13"/>
  <c r="G1560" i="13"/>
  <c r="G1561" i="13"/>
  <c r="G1564" i="13"/>
  <c r="G1565" i="13"/>
  <c r="G1566" i="13"/>
  <c r="G1567" i="13"/>
  <c r="G1568" i="13"/>
  <c r="G1569" i="13"/>
  <c r="G1572" i="13"/>
  <c r="G1573" i="13"/>
  <c r="G1574" i="13"/>
  <c r="G1575" i="13"/>
  <c r="G1576" i="13"/>
  <c r="G1577" i="13"/>
  <c r="G1580" i="13"/>
  <c r="G1581" i="13"/>
  <c r="G1582" i="13"/>
  <c r="G1583" i="13"/>
  <c r="G1584" i="13"/>
  <c r="G1585" i="13"/>
  <c r="G1612" i="13"/>
  <c r="G1613" i="13"/>
  <c r="G1614" i="13"/>
  <c r="G1615" i="13"/>
  <c r="G1616" i="13"/>
  <c r="G1617" i="13"/>
  <c r="G1628" i="13"/>
  <c r="G1629" i="13"/>
  <c r="G1630" i="13"/>
  <c r="G1631" i="13"/>
  <c r="G1632" i="13"/>
  <c r="G1633" i="13"/>
  <c r="G1636" i="13"/>
  <c r="G1637" i="13"/>
  <c r="G1638" i="13"/>
  <c r="G1639" i="13"/>
  <c r="G1640" i="13"/>
  <c r="G1641" i="13"/>
  <c r="G1652" i="13"/>
  <c r="G1653" i="13"/>
  <c r="G1654" i="13"/>
  <c r="G1655" i="13"/>
  <c r="G1656" i="13"/>
  <c r="G1657" i="13"/>
  <c r="G1660" i="13"/>
  <c r="G1661" i="13"/>
  <c r="G1662" i="13"/>
  <c r="G1663" i="13"/>
  <c r="G1664" i="13"/>
  <c r="G1665" i="13"/>
  <c r="G1668" i="13"/>
  <c r="G1669" i="13"/>
  <c r="G1670" i="13"/>
  <c r="G1671" i="13"/>
  <c r="G1672" i="13"/>
  <c r="G1673" i="13"/>
  <c r="G1676" i="13"/>
  <c r="G1677" i="13"/>
  <c r="G1678" i="13"/>
  <c r="G1679" i="13"/>
  <c r="G1680" i="13"/>
  <c r="G1681" i="13"/>
  <c r="G1684" i="13"/>
  <c r="G1685" i="13"/>
  <c r="G1686" i="13"/>
  <c r="G1687" i="13"/>
  <c r="G1688" i="13"/>
  <c r="G1689" i="13"/>
  <c r="G1692" i="13"/>
  <c r="G1693" i="13"/>
  <c r="G1694" i="13"/>
  <c r="G1695" i="13"/>
  <c r="G1696" i="13"/>
  <c r="G1697" i="13"/>
  <c r="G1700" i="13"/>
  <c r="G1701" i="13"/>
  <c r="G1702" i="13"/>
  <c r="G1703" i="13"/>
  <c r="G1704" i="13"/>
  <c r="G1705" i="13"/>
  <c r="G1708" i="13"/>
  <c r="G1709" i="13"/>
  <c r="G1710" i="13"/>
  <c r="G1711" i="13"/>
  <c r="G1712" i="13"/>
  <c r="G1713" i="13"/>
  <c r="G1716" i="13"/>
  <c r="G1717" i="13"/>
  <c r="G1718" i="13"/>
  <c r="G1719" i="13"/>
  <c r="G1720" i="13"/>
  <c r="G1721" i="13"/>
  <c r="G1724" i="13"/>
  <c r="G1725" i="13"/>
  <c r="G1726" i="13"/>
  <c r="G1727" i="13"/>
  <c r="G1728" i="13"/>
  <c r="G1729" i="13"/>
  <c r="G1732" i="13"/>
  <c r="G1733" i="13"/>
  <c r="G1734" i="13"/>
  <c r="G1735" i="13"/>
  <c r="G1736" i="13"/>
  <c r="G1737" i="13"/>
  <c r="G1740" i="13"/>
  <c r="G1741" i="13"/>
  <c r="G1742" i="13"/>
  <c r="G1743" i="13"/>
  <c r="G1744" i="13"/>
  <c r="G1745" i="13"/>
  <c r="G1748" i="13"/>
  <c r="G1749" i="13"/>
  <c r="G1750" i="13"/>
  <c r="G1751" i="13"/>
  <c r="G1752" i="13"/>
  <c r="G1753" i="13"/>
  <c r="G1756" i="13"/>
  <c r="G1757" i="13"/>
  <c r="G1758" i="13"/>
  <c r="G1759" i="13"/>
  <c r="G1760" i="13"/>
  <c r="G1761" i="13"/>
  <c r="G1764" i="13"/>
  <c r="G1765" i="13"/>
  <c r="G1766" i="13"/>
  <c r="G1767" i="13"/>
  <c r="G1768" i="13"/>
  <c r="G1769" i="13"/>
  <c r="G1772" i="13"/>
  <c r="G1773" i="13"/>
  <c r="G1774" i="13"/>
  <c r="G1775" i="13"/>
  <c r="G1776" i="13"/>
  <c r="G1777" i="13"/>
  <c r="G1780" i="13"/>
  <c r="G1781" i="13"/>
  <c r="G1782" i="13"/>
  <c r="G1783" i="13"/>
  <c r="G1784" i="13"/>
  <c r="G1785" i="13"/>
  <c r="G1788" i="13"/>
  <c r="G1789" i="13"/>
  <c r="G1790" i="13"/>
  <c r="G1791" i="13"/>
  <c r="G1792" i="13"/>
  <c r="G1793" i="13"/>
  <c r="G1796" i="13"/>
  <c r="G1797" i="13"/>
  <c r="G1798" i="13"/>
  <c r="G1799" i="13"/>
  <c r="G1800" i="13"/>
  <c r="G1801" i="13"/>
  <c r="G1804" i="13"/>
  <c r="G1805" i="13"/>
  <c r="G1806" i="13"/>
  <c r="G1807" i="13"/>
  <c r="G1808" i="13"/>
  <c r="G1809" i="13"/>
  <c r="G1812" i="13"/>
  <c r="G1813" i="13"/>
  <c r="G1814" i="13"/>
  <c r="G1815" i="13"/>
  <c r="G1816" i="13"/>
  <c r="G1817" i="13"/>
  <c r="G1820" i="13"/>
  <c r="G1821" i="13"/>
  <c r="G1822" i="13"/>
  <c r="G1823" i="13"/>
  <c r="G1824" i="13"/>
  <c r="G1825" i="13"/>
  <c r="G1828" i="13"/>
  <c r="G1829" i="13"/>
  <c r="G1830" i="13"/>
  <c r="G1831" i="13"/>
  <c r="G1832" i="13"/>
  <c r="G1833" i="13"/>
  <c r="F1845" i="13"/>
  <c r="G1845" i="13" s="1"/>
  <c r="F1846" i="13"/>
  <c r="G1846" i="13" s="1"/>
  <c r="F1847" i="13"/>
  <c r="G1847" i="13" s="1"/>
  <c r="F1848" i="13"/>
  <c r="G1848" i="13" s="1"/>
  <c r="F1849" i="13"/>
  <c r="G1849" i="13" s="1"/>
  <c r="F1853" i="13"/>
  <c r="G1853" i="13" s="1"/>
  <c r="F1854" i="13"/>
  <c r="G1854" i="13" s="1"/>
  <c r="F1855" i="13"/>
  <c r="G1855" i="13" s="1"/>
  <c r="F1856" i="13"/>
  <c r="G1856" i="13" s="1"/>
  <c r="F1857" i="13"/>
  <c r="G1857" i="13" s="1"/>
  <c r="L47" i="13" l="1"/>
  <c r="N47" i="13" s="1"/>
  <c r="L58" i="13"/>
  <c r="N58" i="13" s="1"/>
  <c r="L50" i="13"/>
  <c r="N50" i="13" s="1"/>
  <c r="L57" i="13"/>
  <c r="N57" i="13" s="1"/>
  <c r="L38" i="13"/>
  <c r="N38" i="13" s="1"/>
  <c r="L43" i="13"/>
  <c r="N43" i="13" s="1"/>
  <c r="L48" i="13"/>
  <c r="N48" i="13" s="1"/>
  <c r="L52" i="13"/>
  <c r="N52" i="13" s="1"/>
  <c r="L45" i="13"/>
  <c r="N45" i="13" s="1"/>
  <c r="L54" i="13"/>
  <c r="N54" i="13" s="1"/>
  <c r="L42" i="13"/>
  <c r="N42" i="13" s="1"/>
  <c r="L49" i="13"/>
  <c r="N49" i="13" s="1"/>
  <c r="L36" i="13"/>
  <c r="N36" i="13" s="1"/>
  <c r="L37" i="13"/>
  <c r="N37" i="13" s="1"/>
  <c r="L40" i="13"/>
  <c r="N40" i="13" s="1"/>
  <c r="L51" i="13"/>
  <c r="N51" i="13" s="1"/>
  <c r="L56" i="13"/>
  <c r="N56" i="13" s="1"/>
  <c r="L46" i="13"/>
  <c r="N46" i="13" s="1"/>
  <c r="L41" i="13"/>
  <c r="N41" i="13" s="1"/>
  <c r="L53" i="13"/>
  <c r="N53" i="13" s="1"/>
  <c r="L44" i="13"/>
  <c r="N44" i="13" s="1"/>
  <c r="L55" i="13"/>
  <c r="N55" i="13" s="1"/>
</calcChain>
</file>

<file path=xl/sharedStrings.xml><?xml version="1.0" encoding="utf-8"?>
<sst xmlns="http://schemas.openxmlformats.org/spreadsheetml/2006/main" count="3976" uniqueCount="953">
  <si>
    <t>레인</t>
  </si>
  <si>
    <t>성명</t>
  </si>
  <si>
    <t>비고</t>
    <phoneticPr fontId="1" type="noConversion"/>
  </si>
  <si>
    <t>소속</t>
    <phoneticPr fontId="1" type="noConversion"/>
  </si>
  <si>
    <t>소속</t>
  </si>
  <si>
    <t xml:space="preserve"> </t>
    <phoneticPr fontId="1" type="noConversion"/>
  </si>
  <si>
    <t>기록</t>
    <phoneticPr fontId="1" type="noConversion"/>
  </si>
  <si>
    <t>등수</t>
    <phoneticPr fontId="1" type="noConversion"/>
  </si>
  <si>
    <t>점수</t>
    <phoneticPr fontId="1" type="noConversion"/>
  </si>
  <si>
    <t>지우지마세요</t>
    <phoneticPr fontId="1" type="noConversion"/>
  </si>
  <si>
    <t>합계</t>
    <phoneticPr fontId="1" type="noConversion"/>
  </si>
  <si>
    <t>팀점수</t>
    <phoneticPr fontId="1" type="noConversion"/>
  </si>
  <si>
    <t>총합계</t>
    <phoneticPr fontId="1" type="noConversion"/>
  </si>
  <si>
    <t>팀용원</t>
  </si>
  <si>
    <t>수영in부산</t>
  </si>
  <si>
    <t>BOOST</t>
  </si>
  <si>
    <t>최은솔</t>
  </si>
  <si>
    <t>조유빈</t>
  </si>
  <si>
    <t>최연서</t>
  </si>
  <si>
    <t>안이령</t>
  </si>
  <si>
    <t/>
  </si>
  <si>
    <t>김민후</t>
  </si>
  <si>
    <t>서윤우</t>
  </si>
  <si>
    <t>이도홍</t>
  </si>
  <si>
    <t>최지유</t>
  </si>
  <si>
    <t>김유진</t>
  </si>
  <si>
    <t>정서임</t>
  </si>
  <si>
    <t>유해강</t>
  </si>
  <si>
    <t>김나윤</t>
  </si>
  <si>
    <t>노은서</t>
  </si>
  <si>
    <t>박선영</t>
  </si>
  <si>
    <t>류찬서</t>
  </si>
  <si>
    <t>손한비</t>
  </si>
  <si>
    <t>이서인</t>
  </si>
  <si>
    <t>길민성</t>
  </si>
  <si>
    <t>김다원</t>
  </si>
  <si>
    <t>이주원</t>
  </si>
  <si>
    <t>민동준</t>
  </si>
  <si>
    <t>신지훈</t>
  </si>
  <si>
    <t>정은우</t>
  </si>
  <si>
    <t>정해원</t>
  </si>
  <si>
    <t>심기온</t>
  </si>
  <si>
    <t>김지건</t>
  </si>
  <si>
    <t>이상혁</t>
  </si>
  <si>
    <t>이예진</t>
  </si>
  <si>
    <t>이서율</t>
  </si>
  <si>
    <t>박소윤</t>
  </si>
  <si>
    <t>이유나</t>
  </si>
  <si>
    <t>정태인</t>
  </si>
  <si>
    <t>한태준</t>
  </si>
  <si>
    <t>손지호</t>
  </si>
  <si>
    <t>김지후</t>
  </si>
  <si>
    <t>팀명</t>
    <phoneticPr fontId="1" type="noConversion"/>
  </si>
  <si>
    <t>김해문화관광재단</t>
  </si>
  <si>
    <t>김해문화관광재단</t>
    <phoneticPr fontId="1" type="noConversion"/>
  </si>
  <si>
    <t>팀용원</t>
    <phoneticPr fontId="1" type="noConversion"/>
  </si>
  <si>
    <t>엄궁스위밍클럽</t>
  </si>
  <si>
    <t>엄궁스위밍클럽</t>
    <phoneticPr fontId="1" type="noConversion"/>
  </si>
  <si>
    <t>신명초등학교</t>
  </si>
  <si>
    <t>신명초등학교</t>
    <phoneticPr fontId="1" type="noConversion"/>
  </si>
  <si>
    <t>IMD 스위밍클럽</t>
  </si>
  <si>
    <t>IMD 스위밍클럽</t>
    <phoneticPr fontId="1" type="noConversion"/>
  </si>
  <si>
    <t>김해문화관광재단</t>
    <phoneticPr fontId="10" type="noConversion"/>
  </si>
  <si>
    <t>팀용원</t>
    <phoneticPr fontId="10" type="noConversion"/>
  </si>
  <si>
    <t>All-Out</t>
  </si>
  <si>
    <t>All-Out</t>
    <phoneticPr fontId="1" type="noConversion"/>
  </si>
  <si>
    <t>BOOST</t>
    <phoneticPr fontId="1" type="noConversion"/>
  </si>
  <si>
    <t>IMD 스위밍클럽</t>
    <phoneticPr fontId="1" type="noConversion"/>
  </si>
  <si>
    <t>국립한국해양대학교</t>
    <phoneticPr fontId="1" type="noConversion"/>
  </si>
  <si>
    <t>보노보노</t>
    <phoneticPr fontId="1" type="noConversion"/>
  </si>
  <si>
    <t>수영in부산</t>
    <phoneticPr fontId="1" type="noConversion"/>
  </si>
  <si>
    <t>스위밍몬스터</t>
  </si>
  <si>
    <t>스위밍몬스터</t>
    <phoneticPr fontId="1" type="noConversion"/>
  </si>
  <si>
    <t>스타피쉬스윔스쿨</t>
  </si>
  <si>
    <t>스타피쉬스윔스쿨</t>
    <phoneticPr fontId="1" type="noConversion"/>
  </si>
  <si>
    <t>아쿠홀릭스</t>
    <phoneticPr fontId="1" type="noConversion"/>
  </si>
  <si>
    <t>엄궁스위밍클럽</t>
    <phoneticPr fontId="1" type="noConversion"/>
  </si>
  <si>
    <t>엔돌핀</t>
    <phoneticPr fontId="1" type="noConversion"/>
  </si>
  <si>
    <t>오르카수영장</t>
  </si>
  <si>
    <t>오르카수영장</t>
    <phoneticPr fontId="1" type="noConversion"/>
  </si>
  <si>
    <t>최강상추</t>
    <phoneticPr fontId="1" type="noConversion"/>
  </si>
  <si>
    <t>팀 돌핀</t>
    <phoneticPr fontId="1" type="noConversion"/>
  </si>
  <si>
    <t>팀스타키즈</t>
  </si>
  <si>
    <t>팀스타키즈</t>
    <phoneticPr fontId="1" type="noConversion"/>
  </si>
  <si>
    <t>팀애옹스</t>
  </si>
  <si>
    <t>팀애옹스</t>
    <phoneticPr fontId="1" type="noConversion"/>
  </si>
  <si>
    <t>팀오르카</t>
    <phoneticPr fontId="1" type="noConversion"/>
  </si>
  <si>
    <t>팀용원</t>
    <phoneticPr fontId="1" type="noConversion"/>
  </si>
  <si>
    <t>팀정상</t>
  </si>
  <si>
    <t>팀정상</t>
    <phoneticPr fontId="1" type="noConversion"/>
  </si>
  <si>
    <t>파닥</t>
    <phoneticPr fontId="1" type="noConversion"/>
  </si>
  <si>
    <t>스위밍몬스터</t>
    <phoneticPr fontId="1" type="noConversion"/>
  </si>
  <si>
    <t>방나은</t>
    <phoneticPr fontId="1" type="noConversion"/>
  </si>
  <si>
    <t>김다온</t>
  </si>
  <si>
    <t>이채윤</t>
  </si>
  <si>
    <t>윤설</t>
  </si>
  <si>
    <t>강다해</t>
  </si>
  <si>
    <t>지수진</t>
  </si>
  <si>
    <t>개인접수</t>
    <phoneticPr fontId="10" type="noConversion"/>
  </si>
  <si>
    <t>이효경</t>
  </si>
  <si>
    <t>박소은</t>
  </si>
  <si>
    <t>서유리</t>
  </si>
  <si>
    <t>오서영</t>
  </si>
  <si>
    <t>강루빈</t>
  </si>
  <si>
    <t>류하은</t>
  </si>
  <si>
    <t>이나윤</t>
  </si>
  <si>
    <t>전소이</t>
  </si>
  <si>
    <t>홍설아</t>
  </si>
  <si>
    <t>서현서</t>
  </si>
  <si>
    <t>성소민</t>
  </si>
  <si>
    <t>송혜교</t>
  </si>
  <si>
    <t>안유진</t>
  </si>
  <si>
    <t>강민지</t>
  </si>
  <si>
    <t>개인접수</t>
    <phoneticPr fontId="10" type="noConversion"/>
  </si>
  <si>
    <t>노소영</t>
  </si>
  <si>
    <t>손예슬</t>
  </si>
  <si>
    <t>9. 남자학생부 1그룹 (9세이하)-배영 50m</t>
    <phoneticPr fontId="1" type="noConversion"/>
  </si>
  <si>
    <t>김순주</t>
  </si>
  <si>
    <t>개인접수</t>
    <phoneticPr fontId="10" type="noConversion"/>
  </si>
  <si>
    <t>백지성</t>
  </si>
  <si>
    <t>채승운</t>
  </si>
  <si>
    <t>김준수</t>
    <phoneticPr fontId="10" type="noConversion"/>
  </si>
  <si>
    <t>김민겸</t>
  </si>
  <si>
    <t>신주환</t>
  </si>
  <si>
    <t>이지호</t>
  </si>
  <si>
    <t>박주형</t>
  </si>
  <si>
    <t>안이선</t>
  </si>
  <si>
    <t>이루안</t>
  </si>
  <si>
    <t>윤민후</t>
  </si>
  <si>
    <t>박태오</t>
  </si>
  <si>
    <t>이재이</t>
  </si>
  <si>
    <t>정성윤</t>
  </si>
  <si>
    <t>팀스타키즈</t>
    <phoneticPr fontId="10" type="noConversion"/>
  </si>
  <si>
    <t>10. 남자학생부 2그룹 (11세이하)-배영50m</t>
    <phoneticPr fontId="1" type="noConversion"/>
  </si>
  <si>
    <t>김태승</t>
  </si>
  <si>
    <t>백현승</t>
  </si>
  <si>
    <t>김우진</t>
  </si>
  <si>
    <t>문유준</t>
  </si>
  <si>
    <t>10-1. 남자학생부 2그룹 (11세이하)-배영50m</t>
    <phoneticPr fontId="1" type="noConversion"/>
  </si>
  <si>
    <t>하지웅</t>
  </si>
  <si>
    <t>신현우</t>
  </si>
  <si>
    <t>신우현</t>
  </si>
  <si>
    <t>김도윤</t>
  </si>
  <si>
    <t>10-2. 남자학생부 2그룹 (11세이하)-배영50m</t>
    <phoneticPr fontId="1" type="noConversion"/>
  </si>
  <si>
    <t>정태양</t>
  </si>
  <si>
    <t>김태민</t>
  </si>
  <si>
    <t>이준우</t>
  </si>
  <si>
    <t>11. 남자학생부 3그룹 (13세이하)-배영 50m</t>
    <phoneticPr fontId="1" type="noConversion"/>
  </si>
  <si>
    <t>서정우</t>
  </si>
  <si>
    <t>조현준</t>
  </si>
  <si>
    <t>이승후</t>
  </si>
  <si>
    <t>최민규</t>
  </si>
  <si>
    <t>김준성</t>
  </si>
  <si>
    <t>안승준</t>
  </si>
  <si>
    <t>팀스타키즈</t>
    <phoneticPr fontId="10" type="noConversion"/>
  </si>
  <si>
    <t>11-1. 남자학생부 3그룹 (13세이하)-배영 50m</t>
    <phoneticPr fontId="1" type="noConversion"/>
  </si>
  <si>
    <t>박근규</t>
  </si>
  <si>
    <t>황정우</t>
  </si>
  <si>
    <t>12. 남자학생부 4그룹(19세이하)-배영 50m</t>
    <phoneticPr fontId="1" type="noConversion"/>
  </si>
  <si>
    <t>13. 여자학생부 1그룹 (9세이하) - 접영 50m</t>
    <phoneticPr fontId="1" type="noConversion"/>
  </si>
  <si>
    <t>윤봄</t>
  </si>
  <si>
    <t>한태연</t>
  </si>
  <si>
    <t>손다온</t>
  </si>
  <si>
    <t>이해온</t>
  </si>
  <si>
    <t>노윤정</t>
  </si>
  <si>
    <t>박자윤</t>
  </si>
  <si>
    <t>박지유</t>
  </si>
  <si>
    <t>전예진</t>
  </si>
  <si>
    <t>박미나</t>
  </si>
  <si>
    <t>14. 여자학생부 2그룹 (11세이하)-접영50m</t>
    <phoneticPr fontId="1" type="noConversion"/>
  </si>
  <si>
    <t>14-1. 여자학생부 2그룹 (11세이하)-접영50m</t>
    <phoneticPr fontId="1" type="noConversion"/>
  </si>
  <si>
    <t>15. 여자학생부 3그룹 (13세이하)-접영50m</t>
    <phoneticPr fontId="1" type="noConversion"/>
  </si>
  <si>
    <t>15-1. 여자학생부 3그룹 (13세이하)-접영50m</t>
    <phoneticPr fontId="1" type="noConversion"/>
  </si>
  <si>
    <t>이다은</t>
  </si>
  <si>
    <t>박시연</t>
  </si>
  <si>
    <t>김소윤</t>
  </si>
  <si>
    <t>이다원</t>
  </si>
  <si>
    <t>16. 여자학생부 4그룹 (19세이하)-접영50m</t>
    <phoneticPr fontId="1" type="noConversion"/>
  </si>
  <si>
    <t>파닥</t>
    <phoneticPr fontId="10" type="noConversion"/>
  </si>
  <si>
    <t>김지유</t>
  </si>
  <si>
    <t>원이든</t>
  </si>
  <si>
    <t>김시원</t>
  </si>
  <si>
    <t>김호현</t>
  </si>
  <si>
    <t>공선우</t>
  </si>
  <si>
    <t>박지수</t>
  </si>
  <si>
    <t>홍재민</t>
  </si>
  <si>
    <t>17. 남자학생부 1그룹 (9세이하)-접영50m</t>
    <phoneticPr fontId="1" type="noConversion"/>
  </si>
  <si>
    <t>17-1. 남자학생부 1그룹 (9세이하)-접영50m</t>
    <phoneticPr fontId="1" type="noConversion"/>
  </si>
  <si>
    <t>18. 남자학생부 2그룹 (11세이하)-접영50m</t>
    <phoneticPr fontId="1" type="noConversion"/>
  </si>
  <si>
    <t>강주하</t>
  </si>
  <si>
    <t>개인접수</t>
    <phoneticPr fontId="10" type="noConversion"/>
  </si>
  <si>
    <t>양준우</t>
  </si>
  <si>
    <t>김민준</t>
  </si>
  <si>
    <t>우서율</t>
  </si>
  <si>
    <t>18-1. 남자학생부 2그룹 (11세이하)-접영50m</t>
    <phoneticPr fontId="1" type="noConversion"/>
  </si>
  <si>
    <t>18-2. 남자학생부 2그룹 (11세이하)-접영50m</t>
    <phoneticPr fontId="1" type="noConversion"/>
  </si>
  <si>
    <t>정준우</t>
  </si>
  <si>
    <t>박수호</t>
  </si>
  <si>
    <t>김민재</t>
  </si>
  <si>
    <t>신진우</t>
  </si>
  <si>
    <t>최우진</t>
  </si>
  <si>
    <t>아쿠홀릭스</t>
    <phoneticPr fontId="10" type="noConversion"/>
  </si>
  <si>
    <t>이시윤</t>
  </si>
  <si>
    <t>김형우</t>
  </si>
  <si>
    <t>조우현</t>
  </si>
  <si>
    <t>오르카수영장</t>
    <phoneticPr fontId="10" type="noConversion"/>
  </si>
  <si>
    <t>김태준</t>
  </si>
  <si>
    <t>길태성</t>
  </si>
  <si>
    <t>19. 남자학생부 3그룹 (13세이하)-접영50m</t>
    <phoneticPr fontId="1" type="noConversion"/>
  </si>
  <si>
    <t>19-1. 남자학생부 3그룹 (13세이하)-접영50m</t>
    <phoneticPr fontId="1" type="noConversion"/>
  </si>
  <si>
    <t>이동훈</t>
  </si>
  <si>
    <t>신현진</t>
  </si>
  <si>
    <t>강동재</t>
  </si>
  <si>
    <t>박대윤</t>
  </si>
  <si>
    <t>20. 남자학생부 4그룹 (19세이하)-접영50m</t>
    <phoneticPr fontId="1" type="noConversion"/>
  </si>
  <si>
    <t>손서준</t>
  </si>
  <si>
    <t>아쿠홀릭스</t>
    <phoneticPr fontId="10" type="noConversion"/>
  </si>
  <si>
    <t>21. 여자학생부 1그룹 (9세이하)-평영50m</t>
    <phoneticPr fontId="1" type="noConversion"/>
  </si>
  <si>
    <t>21-1. 여자학생부 1그룹 (9세이하)-평영50m</t>
    <phoneticPr fontId="1" type="noConversion"/>
  </si>
  <si>
    <t>권유지</t>
  </si>
  <si>
    <t>이예슬</t>
  </si>
  <si>
    <t>황설</t>
  </si>
  <si>
    <t>김하윤</t>
  </si>
  <si>
    <t>홍예빈</t>
  </si>
  <si>
    <t>22. 여자학생부 2그룹 (11세이하)-평영50m</t>
    <phoneticPr fontId="1" type="noConversion"/>
  </si>
  <si>
    <t>22-1. 여자학생부 2그룹 (11세이하)-평영50m</t>
    <phoneticPr fontId="1" type="noConversion"/>
  </si>
  <si>
    <t>이서영</t>
  </si>
  <si>
    <t>임세은</t>
  </si>
  <si>
    <t>조정빈</t>
  </si>
  <si>
    <t>23. 여자학생부 3그룹 (13세이하)-평영50m</t>
    <phoneticPr fontId="1" type="noConversion"/>
  </si>
  <si>
    <t>23-1. 여자학생부 3그룹 (13세이하)-평영50m</t>
    <phoneticPr fontId="1" type="noConversion"/>
  </si>
  <si>
    <t>박은우</t>
  </si>
  <si>
    <t>백지수</t>
  </si>
  <si>
    <t>김도은</t>
  </si>
  <si>
    <t>최예나</t>
  </si>
  <si>
    <t>김도연</t>
  </si>
  <si>
    <t>정혜인</t>
  </si>
  <si>
    <t>24. 남자학생부 1그룹 (9세이하)-평영50m</t>
    <phoneticPr fontId="1" type="noConversion"/>
  </si>
  <si>
    <t>24-1. 남자학생부 1그룹 (9세이하)-평영50m</t>
    <phoneticPr fontId="1" type="noConversion"/>
  </si>
  <si>
    <t>팀스타키즈</t>
    <phoneticPr fontId="10" type="noConversion"/>
  </si>
  <si>
    <t>개인접수</t>
    <phoneticPr fontId="10" type="noConversion"/>
  </si>
  <si>
    <t>정지오</t>
  </si>
  <si>
    <t>신윤서</t>
  </si>
  <si>
    <t>박보서</t>
  </si>
  <si>
    <t>최예한</t>
  </si>
  <si>
    <t>하윤</t>
  </si>
  <si>
    <t>24-2. 남자학생부 1그룹 (9세이하)-평영50m</t>
    <phoneticPr fontId="1" type="noConversion"/>
  </si>
  <si>
    <t>25. 남자학생부 2그룹 (11세이하)-평영50m</t>
    <phoneticPr fontId="1" type="noConversion"/>
  </si>
  <si>
    <t>25-1. 남자학생부 2그룹 (11세이하)-평영50m</t>
    <phoneticPr fontId="1" type="noConversion"/>
  </si>
  <si>
    <t>박경태</t>
  </si>
  <si>
    <t>25-2. 남자학생부 2그룹 (11세이하)-평영50m</t>
    <phoneticPr fontId="1" type="noConversion"/>
  </si>
  <si>
    <t>권효재</t>
  </si>
  <si>
    <t>손민혁</t>
  </si>
  <si>
    <t>손준혁</t>
  </si>
  <si>
    <t>조원재</t>
  </si>
  <si>
    <t>신지환</t>
  </si>
  <si>
    <t>김하원</t>
  </si>
  <si>
    <t>최서윤</t>
  </si>
  <si>
    <t>박라현</t>
  </si>
  <si>
    <t>26. 남자학생부 3그룹 (13세이하)-평영50m</t>
    <phoneticPr fontId="1" type="noConversion"/>
  </si>
  <si>
    <t>팀스타키즈</t>
    <phoneticPr fontId="10" type="noConversion"/>
  </si>
  <si>
    <t>26-1. 남자학생부 3그룹 (13세이하)-평영50m</t>
    <phoneticPr fontId="1" type="noConversion"/>
  </si>
  <si>
    <t>이서준</t>
  </si>
  <si>
    <t>이형준</t>
  </si>
  <si>
    <t>윤재민</t>
  </si>
  <si>
    <t>스타피쉬스윔스쿨</t>
    <phoneticPr fontId="10" type="noConversion"/>
  </si>
  <si>
    <t>김단우</t>
  </si>
  <si>
    <t>김민서</t>
  </si>
  <si>
    <t>천시후</t>
  </si>
  <si>
    <t>국립한국해양대학교</t>
  </si>
  <si>
    <t>아민</t>
  </si>
  <si>
    <t>윤효령</t>
  </si>
  <si>
    <t>27. 남자학생부 4그룹 (19세이하)-평영50m</t>
    <phoneticPr fontId="1" type="noConversion"/>
  </si>
  <si>
    <t>김경훈</t>
  </si>
  <si>
    <t>김남규</t>
  </si>
  <si>
    <t>아쿠홀릭스</t>
    <phoneticPr fontId="10" type="noConversion"/>
  </si>
  <si>
    <t>신혁</t>
  </si>
  <si>
    <t>아쿠홀릭스</t>
    <phoneticPr fontId="10" type="noConversion"/>
  </si>
  <si>
    <t>28. 여자학생부 3그룹 (13세이하)-개인혼영100m</t>
    <phoneticPr fontId="1" type="noConversion"/>
  </si>
  <si>
    <t>최예린</t>
  </si>
  <si>
    <t>아쿠홀릭스</t>
    <phoneticPr fontId="10" type="noConversion"/>
  </si>
  <si>
    <t>강윤지</t>
  </si>
  <si>
    <t>29. 여자학생부 4그룹 (19세이하)-개인혼영100m</t>
    <phoneticPr fontId="1" type="noConversion"/>
  </si>
  <si>
    <t>파닥</t>
    <phoneticPr fontId="10" type="noConversion"/>
  </si>
  <si>
    <t>30. 남자학생부 3그룹 (13세이하)-개인혼영100m</t>
    <phoneticPr fontId="1" type="noConversion"/>
  </si>
  <si>
    <t>김도엽</t>
  </si>
  <si>
    <t>김강현</t>
  </si>
  <si>
    <t>31. 남자학생부 4그룹 (19세이하)-개인혼영100m</t>
    <phoneticPr fontId="1" type="noConversion"/>
  </si>
  <si>
    <t>신율</t>
  </si>
  <si>
    <t>정하람</t>
  </si>
  <si>
    <t>김지안</t>
  </si>
  <si>
    <t>김가람</t>
  </si>
  <si>
    <t>32. 여자학생부 1그룹 (9세이하)-자유형50m</t>
    <phoneticPr fontId="1" type="noConversion"/>
  </si>
  <si>
    <t>32-1. 여자학생부 1그룹 (9세이하)-자유형50m</t>
    <phoneticPr fontId="1" type="noConversion"/>
  </si>
  <si>
    <t>32-2. 여자학생부 1그룹 (9세이하)-자유형50m</t>
    <phoneticPr fontId="1" type="noConversion"/>
  </si>
  <si>
    <t>33. 여자학생부 2그룹 (11세이하)-자유형50m</t>
    <phoneticPr fontId="1" type="noConversion"/>
  </si>
  <si>
    <t>33-1. 여자학생부 2그룹 (11세이하)-자유형50m</t>
    <phoneticPr fontId="1" type="noConversion"/>
  </si>
  <si>
    <t>33-2. 여자학생부 2그룹 (11세이하)-자유형50m</t>
    <phoneticPr fontId="1" type="noConversion"/>
  </si>
  <si>
    <t>34. 여자학생부 3그룹 (13세이하)-자유형50m</t>
    <phoneticPr fontId="1" type="noConversion"/>
  </si>
  <si>
    <t>34-1. 여자학생부 3그룹 (13세이하)-자유형50m</t>
    <phoneticPr fontId="1" type="noConversion"/>
  </si>
  <si>
    <t>34-2. 여자학생부 3그룹 (13세이하)-자유형50m</t>
    <phoneticPr fontId="1" type="noConversion"/>
  </si>
  <si>
    <t>35. 여자학생부 4그룹 (19세이하)-자유형50m</t>
    <phoneticPr fontId="1" type="noConversion"/>
  </si>
  <si>
    <t>개인접수</t>
    <phoneticPr fontId="10" type="noConversion"/>
  </si>
  <si>
    <t>36. 남자학생부 1그룹 (9세이하)-자유형50m</t>
    <phoneticPr fontId="1" type="noConversion"/>
  </si>
  <si>
    <t>36-1. 남자학생부 1그룹 (9세이하)-자유형50m</t>
    <phoneticPr fontId="1" type="noConversion"/>
  </si>
  <si>
    <t>36-2. 남자학생부 1그룹 (9세이하)-자유형50m</t>
    <phoneticPr fontId="1" type="noConversion"/>
  </si>
  <si>
    <t>개인접수</t>
    <phoneticPr fontId="10" type="noConversion"/>
  </si>
  <si>
    <t>김준수</t>
    <phoneticPr fontId="10" type="noConversion"/>
  </si>
  <si>
    <t>조준영</t>
  </si>
  <si>
    <t>36-3. 남자학생부 1그룹 (9세이하)-자유형50m</t>
    <phoneticPr fontId="1" type="noConversion"/>
  </si>
  <si>
    <t>37. 남자학생부 2그룹 (11세이하)-자유형50m</t>
    <phoneticPr fontId="1" type="noConversion"/>
  </si>
  <si>
    <t>37-1. 남자학생부 2그룹 (11세이하)-자유형50m</t>
    <phoneticPr fontId="1" type="noConversion"/>
  </si>
  <si>
    <t>유지후</t>
  </si>
  <si>
    <t>37-2. 남자학생부 2그룹 (11세이하)-자유형50m</t>
    <phoneticPr fontId="1" type="noConversion"/>
  </si>
  <si>
    <t>37-3. 남자학생부 2그룹 (11세이하)-자유형50m</t>
    <phoneticPr fontId="1" type="noConversion"/>
  </si>
  <si>
    <t>37-4. 남자학생부 2그룹 (11세이하)-자유형50m</t>
    <phoneticPr fontId="1" type="noConversion"/>
  </si>
  <si>
    <t>유재욱</t>
  </si>
  <si>
    <t>37-5. 남자학생부 2그룹 (11세이하)-자유형50m</t>
    <phoneticPr fontId="1" type="noConversion"/>
  </si>
  <si>
    <t>박시진</t>
  </si>
  <si>
    <t>오르카수영장</t>
    <phoneticPr fontId="10" type="noConversion"/>
  </si>
  <si>
    <t>오르카수영장</t>
    <phoneticPr fontId="10" type="noConversion"/>
  </si>
  <si>
    <t>37-6. 남자학생부 2그룹 (11세이하)-자유형50m</t>
    <phoneticPr fontId="1" type="noConversion"/>
  </si>
  <si>
    <t>이호준</t>
  </si>
  <si>
    <t>38. 남자학생부 3그룹 (13세이하)-자유형50m</t>
    <phoneticPr fontId="1" type="noConversion"/>
  </si>
  <si>
    <t>38-1. 남자학생부 3그룹 (13세이하)-자유형50m</t>
    <phoneticPr fontId="1" type="noConversion"/>
  </si>
  <si>
    <t>개인접수</t>
    <phoneticPr fontId="10" type="noConversion"/>
  </si>
  <si>
    <t>38-2. 남자학생부 3그룹 (13세이하)-자유형50m</t>
    <phoneticPr fontId="1" type="noConversion"/>
  </si>
  <si>
    <t>이정민</t>
  </si>
  <si>
    <t>개인접수</t>
    <phoneticPr fontId="10" type="noConversion"/>
  </si>
  <si>
    <t>38-3. 남자학생부 3그룹 (13세이하)-자유형50m</t>
    <phoneticPr fontId="1" type="noConversion"/>
  </si>
  <si>
    <t>39. 남자학생부 4그룹 (19세이하)-자유형50m</t>
    <phoneticPr fontId="1" type="noConversion"/>
  </si>
  <si>
    <t>40. 여자학생부(13세이하) 계영200m</t>
    <phoneticPr fontId="1" type="noConversion"/>
  </si>
  <si>
    <t>1. 여자학생부(13세이하) 혼계영200m</t>
    <phoneticPr fontId="1" type="noConversion"/>
  </si>
  <si>
    <t>2. 여자학생부(19세이하) 혼계영200m</t>
    <phoneticPr fontId="1" type="noConversion"/>
  </si>
  <si>
    <t>3. 남자학생부(13세이하) 혼계영200m</t>
    <phoneticPr fontId="1" type="noConversion"/>
  </si>
  <si>
    <t>4. 남자학생부(19세이하) 혼계영200m</t>
    <phoneticPr fontId="1" type="noConversion"/>
  </si>
  <si>
    <t>5. 여자학생부 1그룹 (9세이하)-배영 50m</t>
    <phoneticPr fontId="1" type="noConversion"/>
  </si>
  <si>
    <t>6. 여자학생부 2그룹(11세이하)-배영50m</t>
    <phoneticPr fontId="1" type="noConversion"/>
  </si>
  <si>
    <t>6-1. 여자학생부 2그룹 (11세이하)-배영50m</t>
    <phoneticPr fontId="1" type="noConversion"/>
  </si>
  <si>
    <t>6-2. 여자학생부 2그룹 (11세이하)-배영 50m</t>
    <phoneticPr fontId="1" type="noConversion"/>
  </si>
  <si>
    <t>7. 여자학생부 3그룹(13세이하)-배영 50m</t>
    <phoneticPr fontId="1" type="noConversion"/>
  </si>
  <si>
    <t>7-1. 여자학생부 3그룹(13세이하)-배영 50m</t>
    <phoneticPr fontId="1" type="noConversion"/>
  </si>
  <si>
    <t>8. 여자학생부 4그룹(19세이하)-배영 50m</t>
    <phoneticPr fontId="1" type="noConversion"/>
  </si>
  <si>
    <t>9-1. 남자학생부 1그룹(9세이하)-배영 50m</t>
    <phoneticPr fontId="1" type="noConversion"/>
  </si>
  <si>
    <t>9-2. 남자학생부 1그룹(9세이하)-배영 50m</t>
    <phoneticPr fontId="1" type="noConversion"/>
  </si>
  <si>
    <t>BOOST</t>
    <phoneticPr fontId="10" type="noConversion"/>
  </si>
  <si>
    <t>팀용원</t>
    <phoneticPr fontId="10" type="noConversion"/>
  </si>
  <si>
    <t>김해문화관광재단</t>
    <phoneticPr fontId="10" type="noConversion"/>
  </si>
  <si>
    <t>엄궁스위밍클럽</t>
    <phoneticPr fontId="10" type="noConversion"/>
  </si>
  <si>
    <t>신명초등학교</t>
    <phoneticPr fontId="10" type="noConversion"/>
  </si>
  <si>
    <t>IMD 스위밍클럽</t>
    <phoneticPr fontId="10" type="noConversion"/>
  </si>
  <si>
    <t>41. 여자학생부(19세이하) 계영200m</t>
    <phoneticPr fontId="1" type="noConversion"/>
  </si>
  <si>
    <t>팀용원(정미옥)</t>
    <phoneticPr fontId="10" type="noConversion"/>
  </si>
  <si>
    <t>김해문화관광재단(신윤정)</t>
    <phoneticPr fontId="10" type="noConversion"/>
  </si>
  <si>
    <t>김해문화관광재단</t>
    <phoneticPr fontId="10" type="noConversion"/>
  </si>
  <si>
    <t>42. 남자학생부(13세이하) 계영200m</t>
    <phoneticPr fontId="1" type="noConversion"/>
  </si>
  <si>
    <t>43. 남자학생부(19세이하) 계영200m</t>
    <phoneticPr fontId="1" type="noConversion"/>
  </si>
  <si>
    <t>BOOST(박이룸)</t>
    <phoneticPr fontId="10" type="noConversion"/>
  </si>
  <si>
    <t>팀용원(정미옥)</t>
    <phoneticPr fontId="10" type="noConversion"/>
  </si>
  <si>
    <t>엄궁스위밍클럽(송상범)</t>
    <phoneticPr fontId="10" type="noConversion"/>
  </si>
  <si>
    <t>신명초등학교(정은우)</t>
    <phoneticPr fontId="10" type="noConversion"/>
  </si>
  <si>
    <t>IMD 스위밍클럽(최필성)</t>
    <phoneticPr fontId="10" type="noConversion"/>
  </si>
  <si>
    <t>44. 여자 혼계영200m (-43세)</t>
    <phoneticPr fontId="1" type="noConversion"/>
  </si>
  <si>
    <t>44-1. 여자 혼계영200m (-43세)</t>
    <phoneticPr fontId="1" type="noConversion"/>
  </si>
  <si>
    <t>수영in부산</t>
    <phoneticPr fontId="10" type="noConversion"/>
  </si>
  <si>
    <t>국립한국해양대학교</t>
    <phoneticPr fontId="10" type="noConversion"/>
  </si>
  <si>
    <t>파닥</t>
    <phoneticPr fontId="10" type="noConversion"/>
  </si>
  <si>
    <t>보노보노</t>
    <phoneticPr fontId="10" type="noConversion"/>
  </si>
  <si>
    <t>팀용원</t>
    <phoneticPr fontId="10" type="noConversion"/>
  </si>
  <si>
    <t>All-Out</t>
    <phoneticPr fontId="10" type="noConversion"/>
  </si>
  <si>
    <t>팀애옹스</t>
    <phoneticPr fontId="10" type="noConversion"/>
  </si>
  <si>
    <t>팀정상</t>
    <phoneticPr fontId="10" type="noConversion"/>
  </si>
  <si>
    <t>45. 여자 혼계영200m (+43세)</t>
    <phoneticPr fontId="1" type="noConversion"/>
  </si>
  <si>
    <t>김해문화관광재단(신윤정)</t>
    <phoneticPr fontId="10" type="noConversion"/>
  </si>
  <si>
    <t>팀애옹스(김민재)</t>
    <phoneticPr fontId="10" type="noConversion"/>
  </si>
  <si>
    <t>수영in부산(모재형)</t>
    <phoneticPr fontId="10" type="noConversion"/>
  </si>
  <si>
    <t>팀정상(이혁기)</t>
    <phoneticPr fontId="10" type="noConversion"/>
  </si>
  <si>
    <t>46. 남자 혼계영200m (-43세)</t>
    <phoneticPr fontId="1" type="noConversion"/>
  </si>
  <si>
    <t>46-1. 남자 혼계영200m (-43세)</t>
    <phoneticPr fontId="1" type="noConversion"/>
  </si>
  <si>
    <t>아쿠홀릭스</t>
    <phoneticPr fontId="10" type="noConversion"/>
  </si>
  <si>
    <t>BOOST</t>
    <phoneticPr fontId="10" type="noConversion"/>
  </si>
  <si>
    <t>수영in부산</t>
    <phoneticPr fontId="10" type="noConversion"/>
  </si>
  <si>
    <t>김해문화관광재단</t>
    <phoneticPr fontId="10" type="noConversion"/>
  </si>
  <si>
    <t>엔돌핀</t>
    <phoneticPr fontId="10" type="noConversion"/>
  </si>
  <si>
    <t>국립한국해양대학교</t>
    <phoneticPr fontId="10" type="noConversion"/>
  </si>
  <si>
    <t>파닥</t>
    <phoneticPr fontId="10" type="noConversion"/>
  </si>
  <si>
    <t>IMD 스위밍클럽</t>
    <phoneticPr fontId="10" type="noConversion"/>
  </si>
  <si>
    <t>46-2. 남자 혼계영200m (-43세)</t>
    <phoneticPr fontId="1" type="noConversion"/>
  </si>
  <si>
    <t>All-Out</t>
    <phoneticPr fontId="10" type="noConversion"/>
  </si>
  <si>
    <t>팀애옹스</t>
    <phoneticPr fontId="10" type="noConversion"/>
  </si>
  <si>
    <t>팀정상</t>
    <phoneticPr fontId="10" type="noConversion"/>
  </si>
  <si>
    <t>33-3. 여자학생부 2그룹 (11세이하)-자유형50m</t>
    <phoneticPr fontId="1" type="noConversion"/>
  </si>
  <si>
    <t>47. 여자 1그룹 (29세이하)-배영 50m</t>
    <phoneticPr fontId="1" type="noConversion"/>
  </si>
  <si>
    <t>47-1. 여자 1그룹 (29세이하)-배영 50m</t>
    <phoneticPr fontId="1" type="noConversion"/>
  </si>
  <si>
    <t>김회민</t>
  </si>
  <si>
    <t>최다울</t>
  </si>
  <si>
    <t>하나현</t>
  </si>
  <si>
    <t>김수연</t>
  </si>
  <si>
    <t>개인접수</t>
    <phoneticPr fontId="10" type="noConversion"/>
  </si>
  <si>
    <t>김윤서</t>
  </si>
  <si>
    <t>장정은</t>
  </si>
  <si>
    <t>파닥</t>
  </si>
  <si>
    <t>48. 여자 2그룹 (36세이하)-배영 50m</t>
    <phoneticPr fontId="1" type="noConversion"/>
  </si>
  <si>
    <t>박한나</t>
  </si>
  <si>
    <t>최세희</t>
  </si>
  <si>
    <t>보노보노</t>
  </si>
  <si>
    <t>손필주</t>
  </si>
  <si>
    <t>아쿠홀릭스</t>
    <phoneticPr fontId="10" type="noConversion"/>
  </si>
  <si>
    <t>채효진</t>
  </si>
  <si>
    <t>팀오르카</t>
    <phoneticPr fontId="10" type="noConversion"/>
  </si>
  <si>
    <t>정수민</t>
  </si>
  <si>
    <t>48-1. 여자 2그룹 (36세이하)-배영 50m</t>
    <phoneticPr fontId="1" type="noConversion"/>
  </si>
  <si>
    <t>이승숙</t>
  </si>
  <si>
    <t>개인접수</t>
    <phoneticPr fontId="10" type="noConversion"/>
  </si>
  <si>
    <t>최은화</t>
  </si>
  <si>
    <t>이여진</t>
  </si>
  <si>
    <t>강현진</t>
  </si>
  <si>
    <t>49. 여자 3그룹 (43세이하)-배영 50m</t>
    <phoneticPr fontId="1" type="noConversion"/>
  </si>
  <si>
    <t>49-1. 여자 3그룹 (43세이하)-배영 50m</t>
    <phoneticPr fontId="1" type="noConversion"/>
  </si>
  <si>
    <t>조아라</t>
  </si>
  <si>
    <t>팀용원</t>
    <phoneticPr fontId="10" type="noConversion"/>
  </si>
  <si>
    <t>고민지</t>
  </si>
  <si>
    <t>개인접수</t>
    <phoneticPr fontId="10" type="noConversion"/>
  </si>
  <si>
    <t>강미경</t>
  </si>
  <si>
    <t>강은진</t>
  </si>
  <si>
    <t>김윤정</t>
  </si>
  <si>
    <t>하미연</t>
  </si>
  <si>
    <t>팀애옹스</t>
    <phoneticPr fontId="10" type="noConversion"/>
  </si>
  <si>
    <t>유진</t>
  </si>
  <si>
    <t>최양숙</t>
  </si>
  <si>
    <t>50. 여자 4그룹 (49세이하)-배영 50m</t>
    <phoneticPr fontId="1" type="noConversion"/>
  </si>
  <si>
    <t>50-1. 여자 4그룹 (49세이하)-배영 50m</t>
    <phoneticPr fontId="1" type="noConversion"/>
  </si>
  <si>
    <t>권진희</t>
  </si>
  <si>
    <t>최상경</t>
  </si>
  <si>
    <t>유나미</t>
  </si>
  <si>
    <t>엄지선</t>
  </si>
  <si>
    <t>이효선</t>
  </si>
  <si>
    <t>김회순</t>
  </si>
  <si>
    <t>이미희</t>
  </si>
  <si>
    <t>조민정</t>
  </si>
  <si>
    <t>한현숙</t>
  </si>
  <si>
    <t>51. 여자 5그룹 (57세이하)-배영 50m</t>
    <phoneticPr fontId="1" type="noConversion"/>
  </si>
  <si>
    <t>유선녕</t>
  </si>
  <si>
    <t>상희영</t>
  </si>
  <si>
    <t>아쿠홀릭스</t>
    <phoneticPr fontId="10" type="noConversion"/>
  </si>
  <si>
    <t>신선옥</t>
  </si>
  <si>
    <t>아쿠홀릭스</t>
    <phoneticPr fontId="10" type="noConversion"/>
  </si>
  <si>
    <t>김선옥</t>
  </si>
  <si>
    <t>52. 남자 1그룹 (29세이하)-배영 50m</t>
    <phoneticPr fontId="1" type="noConversion"/>
  </si>
  <si>
    <t>52-1. 남자 1그룹 (29세이하)-배영 50m</t>
    <phoneticPr fontId="1" type="noConversion"/>
  </si>
  <si>
    <t>박예한</t>
  </si>
  <si>
    <t>국립한국해양대학교</t>
    <phoneticPr fontId="10" type="noConversion"/>
  </si>
  <si>
    <t>이상헌</t>
  </si>
  <si>
    <t>박철</t>
  </si>
  <si>
    <t>엔돌핀</t>
    <phoneticPr fontId="10" type="noConversion"/>
  </si>
  <si>
    <t>양정민</t>
  </si>
  <si>
    <t>팀애옹스</t>
    <phoneticPr fontId="10" type="noConversion"/>
  </si>
  <si>
    <t>유경환</t>
  </si>
  <si>
    <t>김동민</t>
  </si>
  <si>
    <t>황재웅</t>
  </si>
  <si>
    <t>강민규</t>
  </si>
  <si>
    <t>53. 남자 2그룹 (36세이하)-배영 50m</t>
    <phoneticPr fontId="1" type="noConversion"/>
  </si>
  <si>
    <t>53-1. 남자 2그룹 (36세이하)-배영 50m</t>
    <phoneticPr fontId="1" type="noConversion"/>
  </si>
  <si>
    <t>남동훈</t>
  </si>
  <si>
    <t>신중렬</t>
  </si>
  <si>
    <t>팀 돌핀</t>
  </si>
  <si>
    <t>이혁기</t>
  </si>
  <si>
    <t>팀정상</t>
    <phoneticPr fontId="10" type="noConversion"/>
  </si>
  <si>
    <t>박이룸</t>
  </si>
  <si>
    <t>배시완</t>
  </si>
  <si>
    <t>이상재</t>
  </si>
  <si>
    <t>송영종</t>
  </si>
  <si>
    <t>김주호</t>
  </si>
  <si>
    <t>송상현</t>
  </si>
  <si>
    <t>전진욱</t>
  </si>
  <si>
    <t>54. 남자 3그룹 (43세이하)-배영 50m</t>
    <phoneticPr fontId="1" type="noConversion"/>
  </si>
  <si>
    <t>박정희</t>
  </si>
  <si>
    <t>김명수</t>
  </si>
  <si>
    <t>김태중</t>
  </si>
  <si>
    <t>개인접수</t>
    <phoneticPr fontId="10" type="noConversion"/>
  </si>
  <si>
    <t>55. 남자 4그룹 (49세이하)-배영 50m</t>
    <phoneticPr fontId="1" type="noConversion"/>
  </si>
  <si>
    <t>길근철</t>
  </si>
  <si>
    <t>진광훈</t>
  </si>
  <si>
    <t>한이권</t>
  </si>
  <si>
    <t>이문희</t>
  </si>
  <si>
    <t>최강상추</t>
    <phoneticPr fontId="10" type="noConversion"/>
  </si>
  <si>
    <t>정순영</t>
  </si>
  <si>
    <t>56. 남자 5그룹 (57세이하)-배영 50m</t>
    <phoneticPr fontId="1" type="noConversion"/>
  </si>
  <si>
    <t>박희수</t>
  </si>
  <si>
    <t>57. 남자 6그룹 (58세이상)-배영 50m</t>
    <phoneticPr fontId="1" type="noConversion"/>
  </si>
  <si>
    <t>이상원</t>
  </si>
  <si>
    <t>개인접수</t>
    <phoneticPr fontId="10" type="noConversion"/>
  </si>
  <si>
    <t>58. 여자 1그룹 (29세이하)-자유형핀 50m</t>
    <phoneticPr fontId="1" type="noConversion"/>
  </si>
  <si>
    <t>김효정</t>
  </si>
  <si>
    <t>박혜주</t>
  </si>
  <si>
    <t>아쿠홀릭스</t>
    <phoneticPr fontId="10" type="noConversion"/>
  </si>
  <si>
    <t>문지은</t>
  </si>
  <si>
    <t>팀 돌핀</t>
    <phoneticPr fontId="10" type="noConversion"/>
  </si>
  <si>
    <t>김은영</t>
  </si>
  <si>
    <t>정아름</t>
  </si>
  <si>
    <t>최한울</t>
  </si>
  <si>
    <t>최예서</t>
  </si>
  <si>
    <t>58-1. 여자 1그룹 (29세이하)-자유형핀 50m</t>
    <phoneticPr fontId="1" type="noConversion"/>
  </si>
  <si>
    <t>59. 여자 2그룹 (36세이하)-자유형핀 50m</t>
    <phoneticPr fontId="1" type="noConversion"/>
  </si>
  <si>
    <t>59-1. 여자 2그룹 (36세이하)-자유형핀 50m</t>
    <phoneticPr fontId="1" type="noConversion"/>
  </si>
  <si>
    <t>박다희</t>
  </si>
  <si>
    <t>이원정</t>
  </si>
  <si>
    <t>김남희</t>
  </si>
  <si>
    <t>이상은</t>
  </si>
  <si>
    <t>아쿠홀릭스</t>
    <phoneticPr fontId="10" type="noConversion"/>
  </si>
  <si>
    <t>팀오르카</t>
    <phoneticPr fontId="10" type="noConversion"/>
  </si>
  <si>
    <t>손아영</t>
  </si>
  <si>
    <t>전유지</t>
  </si>
  <si>
    <t>안정미</t>
  </si>
  <si>
    <t>60. 여자 3그룹 (43세이하)-자유형핀 50m</t>
    <phoneticPr fontId="1" type="noConversion"/>
  </si>
  <si>
    <t>60-1. 여자 3그룹 (43세이하)-자유형핀 50m</t>
    <phoneticPr fontId="1" type="noConversion"/>
  </si>
  <si>
    <t>손은지</t>
  </si>
  <si>
    <t>김순영</t>
  </si>
  <si>
    <t>장민정</t>
  </si>
  <si>
    <t>정수진</t>
  </si>
  <si>
    <t>류민영</t>
  </si>
  <si>
    <t>박현지</t>
  </si>
  <si>
    <t>육은정</t>
  </si>
  <si>
    <t>김선영</t>
  </si>
  <si>
    <t>김미연</t>
  </si>
  <si>
    <t>61. 여자 4그룹 (49세이하)-자유형핀 50m</t>
    <phoneticPr fontId="1" type="noConversion"/>
  </si>
  <si>
    <t>61-1. 여자 4그룹 (49세이하)-자유형핀 50m</t>
    <phoneticPr fontId="1" type="noConversion"/>
  </si>
  <si>
    <t>정영화</t>
  </si>
  <si>
    <t>김시연</t>
  </si>
  <si>
    <t>안현숙</t>
  </si>
  <si>
    <t>박경숙</t>
  </si>
  <si>
    <t>최선희</t>
  </si>
  <si>
    <t>박미정</t>
  </si>
  <si>
    <t>김현주</t>
  </si>
  <si>
    <t>개인접수</t>
    <phoneticPr fontId="10" type="noConversion"/>
  </si>
  <si>
    <t>김수영</t>
    <phoneticPr fontId="10" type="noConversion"/>
  </si>
  <si>
    <t>62. 여자 5그룹 (57세이하)-자유형핀 50m</t>
    <phoneticPr fontId="1" type="noConversion"/>
  </si>
  <si>
    <t>박영미</t>
  </si>
  <si>
    <t>김미정</t>
  </si>
  <si>
    <t>김은주</t>
  </si>
  <si>
    <t>이수분</t>
  </si>
  <si>
    <t>63. 여자 6그룹 (58세이상)-자유형핀 50m</t>
    <phoneticPr fontId="1" type="noConversion"/>
  </si>
  <si>
    <t>박수희</t>
  </si>
  <si>
    <t>64. 남자 1그룹 (29세이하)-자유형핀 50m</t>
    <phoneticPr fontId="1" type="noConversion"/>
  </si>
  <si>
    <t>64-1. 남자 1그룹 (29세이하)-자유형핀 50m</t>
    <phoneticPr fontId="1" type="noConversion"/>
  </si>
  <si>
    <t>윤관우</t>
  </si>
  <si>
    <t>김성민</t>
  </si>
  <si>
    <t>엔돌핀</t>
  </si>
  <si>
    <t>조재광</t>
  </si>
  <si>
    <t>조민우</t>
  </si>
  <si>
    <t>이정재</t>
  </si>
  <si>
    <t>팀오르카</t>
  </si>
  <si>
    <t>김태용</t>
  </si>
  <si>
    <t>김진혁</t>
  </si>
  <si>
    <t>김형후</t>
  </si>
  <si>
    <t>국립한국해양대학교</t>
    <phoneticPr fontId="10" type="noConversion"/>
  </si>
  <si>
    <t>박현성</t>
  </si>
  <si>
    <t>아쿠홀릭스</t>
    <phoneticPr fontId="10" type="noConversion"/>
  </si>
  <si>
    <t>65. 남자 2그룹 (36세이하)-자유형핀 50m</t>
    <phoneticPr fontId="1" type="noConversion"/>
  </si>
  <si>
    <t>65-1. 남자 2그룹 (36세이하)-자유형핀 50m</t>
    <phoneticPr fontId="1" type="noConversion"/>
  </si>
  <si>
    <t>조준희</t>
  </si>
  <si>
    <t>모재형</t>
  </si>
  <si>
    <t>김익희</t>
  </si>
  <si>
    <t>남정훈</t>
  </si>
  <si>
    <t>천호경</t>
  </si>
  <si>
    <t>김성엽</t>
    <phoneticPr fontId="10" type="noConversion"/>
  </si>
  <si>
    <t>이태호</t>
  </si>
  <si>
    <t>팀오르카</t>
    <phoneticPr fontId="10" type="noConversion"/>
  </si>
  <si>
    <t>정종호</t>
  </si>
  <si>
    <t>정상현</t>
  </si>
  <si>
    <t>66. 남자 3그룹 (43세이하)-자유형핀 50m</t>
    <phoneticPr fontId="1" type="noConversion"/>
  </si>
  <si>
    <t>66-1. 남자 3그룹 (43세이하)-자유형핀 50m</t>
    <phoneticPr fontId="1" type="noConversion"/>
  </si>
  <si>
    <t>윤태환</t>
  </si>
  <si>
    <t>김현</t>
  </si>
  <si>
    <t>한지훈</t>
  </si>
  <si>
    <t>신동섭</t>
  </si>
  <si>
    <t>강명호</t>
  </si>
  <si>
    <t>최강상추</t>
  </si>
  <si>
    <t>박경호</t>
  </si>
  <si>
    <t>67. 남자 4그룹 (49세이하)-자유형핀 50m</t>
    <phoneticPr fontId="1" type="noConversion"/>
  </si>
  <si>
    <t>67-1. 남자 4그룹 (49세이하)-자유형핀 50m</t>
    <phoneticPr fontId="1" type="noConversion"/>
  </si>
  <si>
    <t>박정현</t>
  </si>
  <si>
    <t>수영in부산</t>
    <phoneticPr fontId="10" type="noConversion"/>
  </si>
  <si>
    <t>김인곤</t>
  </si>
  <si>
    <t>하성채</t>
  </si>
  <si>
    <t>김성욱</t>
  </si>
  <si>
    <t>장영건</t>
  </si>
  <si>
    <t>이진욱</t>
  </si>
  <si>
    <t>김동욱</t>
  </si>
  <si>
    <t>주남일</t>
  </si>
  <si>
    <t>황재현</t>
  </si>
  <si>
    <t>박종진</t>
  </si>
  <si>
    <t>권동훈</t>
  </si>
  <si>
    <t>67-2. 남자 4그룹 (49세이하)-자유형핀 50m</t>
    <phoneticPr fontId="1" type="noConversion"/>
  </si>
  <si>
    <t>김진용</t>
  </si>
  <si>
    <t>68. 남자 5그룹 (57세이하)-자유형핀 50m</t>
    <phoneticPr fontId="1" type="noConversion"/>
  </si>
  <si>
    <t>이승봉</t>
  </si>
  <si>
    <t>류석기</t>
  </si>
  <si>
    <t>염한일</t>
  </si>
  <si>
    <t>김용보</t>
  </si>
  <si>
    <t>68-1. 남자 5그룹 (57세이하)-자유형핀 50m</t>
    <phoneticPr fontId="1" type="noConversion"/>
  </si>
  <si>
    <t>김형식</t>
  </si>
  <si>
    <t>아쿠홀릭스</t>
    <phoneticPr fontId="10" type="noConversion"/>
  </si>
  <si>
    <t>정성옥</t>
  </si>
  <si>
    <t>정희종</t>
  </si>
  <si>
    <t>이성균</t>
  </si>
  <si>
    <t>69. 남자 6그룹 (58세이상)-자유형핀 50m</t>
    <phoneticPr fontId="1" type="noConversion"/>
  </si>
  <si>
    <t>배인석</t>
  </si>
  <si>
    <t>70. 여자 1그룹 (29세이하)-접영 50m</t>
    <phoneticPr fontId="1" type="noConversion"/>
  </si>
  <si>
    <t>70-1. 여자 1그룹 (29세이하)-접영 50m</t>
    <phoneticPr fontId="1" type="noConversion"/>
  </si>
  <si>
    <t>배소현</t>
  </si>
  <si>
    <t>이아정</t>
  </si>
  <si>
    <t>성혜빈</t>
  </si>
  <si>
    <t>전영주</t>
    <phoneticPr fontId="10" type="noConversion"/>
  </si>
  <si>
    <t>임수지</t>
  </si>
  <si>
    <t>문희정</t>
  </si>
  <si>
    <t>김보빈</t>
  </si>
  <si>
    <t>김리현</t>
  </si>
  <si>
    <t>팀용원</t>
    <phoneticPr fontId="10" type="noConversion"/>
  </si>
  <si>
    <t>71. 여자 2그룹 (36세이하)-접영 50m</t>
    <phoneticPr fontId="1" type="noConversion"/>
  </si>
  <si>
    <t>71-1. 여자 2그룹 (36세이하)-접영 50m</t>
    <phoneticPr fontId="1" type="noConversion"/>
  </si>
  <si>
    <t>김나영</t>
  </si>
  <si>
    <t>All-Out</t>
    <phoneticPr fontId="10" type="noConversion"/>
  </si>
  <si>
    <t>조희래</t>
  </si>
  <si>
    <t>홍현희</t>
  </si>
  <si>
    <t>최소원</t>
  </si>
  <si>
    <t>김빛나</t>
  </si>
  <si>
    <t>윤이나</t>
  </si>
  <si>
    <t>배하정</t>
  </si>
  <si>
    <t>최문실</t>
  </si>
  <si>
    <t>장민영</t>
  </si>
  <si>
    <t>윤수지</t>
  </si>
  <si>
    <t>72. 여자 3그룹 (43세이하)-접영 50m</t>
    <phoneticPr fontId="1" type="noConversion"/>
  </si>
  <si>
    <t>현주경</t>
  </si>
  <si>
    <t>보노보노</t>
    <phoneticPr fontId="10" type="noConversion"/>
  </si>
  <si>
    <t>김예령</t>
  </si>
  <si>
    <t>감경임</t>
  </si>
  <si>
    <t>이소민</t>
  </si>
  <si>
    <t>73. 여자 4그룹 (49세이하)-접영 50m</t>
    <phoneticPr fontId="1" type="noConversion"/>
  </si>
  <si>
    <t>김영애</t>
  </si>
  <si>
    <t>허향아</t>
  </si>
  <si>
    <t>74. 여자 5그룹 (57세이하)-접영 50m</t>
    <phoneticPr fontId="1" type="noConversion"/>
  </si>
  <si>
    <t>정혜영</t>
  </si>
  <si>
    <t>정미옥</t>
  </si>
  <si>
    <t>이운남</t>
  </si>
  <si>
    <t>여덕임</t>
  </si>
  <si>
    <t>75. 남자 1그룹 (29세이하)-접영 50m</t>
    <phoneticPr fontId="1" type="noConversion"/>
  </si>
  <si>
    <t>75-1. 남자 1그룹 (29세이하)-접영 50m</t>
    <phoneticPr fontId="1" type="noConversion"/>
  </si>
  <si>
    <t>서경현</t>
  </si>
  <si>
    <t>김완</t>
  </si>
  <si>
    <t>백승준</t>
  </si>
  <si>
    <t>김선진</t>
  </si>
  <si>
    <t>제영환</t>
  </si>
  <si>
    <t>유현우</t>
  </si>
  <si>
    <t>신재민</t>
    <phoneticPr fontId="10" type="noConversion"/>
  </si>
  <si>
    <t>76. 남자 2그룹 (36세이하)-접영 50m</t>
    <phoneticPr fontId="1" type="noConversion"/>
  </si>
  <si>
    <t>76-1. 남자 2그룹 (36세이하)-접영 50m</t>
    <phoneticPr fontId="1" type="noConversion"/>
  </si>
  <si>
    <t>이지용</t>
  </si>
  <si>
    <t>조현복</t>
  </si>
  <si>
    <t>정재룡</t>
  </si>
  <si>
    <t>김성호</t>
  </si>
  <si>
    <t>김영민</t>
  </si>
  <si>
    <t>강태운</t>
  </si>
  <si>
    <t>김광휘</t>
  </si>
  <si>
    <t>조형오</t>
  </si>
  <si>
    <t>팀용원</t>
    <phoneticPr fontId="10" type="noConversion"/>
  </si>
  <si>
    <t>76-2. 남자 2그룹 (36세이하)-접영 50m</t>
    <phoneticPr fontId="1" type="noConversion"/>
  </si>
  <si>
    <t>박봉수</t>
  </si>
  <si>
    <t>77. 남자 3그룹 (43세이하)-접영 50m</t>
    <phoneticPr fontId="1" type="noConversion"/>
  </si>
  <si>
    <t>김형관</t>
  </si>
  <si>
    <t>김성우</t>
  </si>
  <si>
    <t>김태우</t>
  </si>
  <si>
    <t>77-1. 남자 3그룹 (43세이하)-접영 50m</t>
    <phoneticPr fontId="1" type="noConversion"/>
  </si>
  <si>
    <t>성기화</t>
  </si>
  <si>
    <t>박두성</t>
  </si>
  <si>
    <t>이준태</t>
  </si>
  <si>
    <t>공보환</t>
  </si>
  <si>
    <t>하봉화</t>
  </si>
  <si>
    <t>박홍규</t>
  </si>
  <si>
    <t>78. 남자 4그룹 (49세이하)-접영 50m</t>
    <phoneticPr fontId="1" type="noConversion"/>
  </si>
  <si>
    <t>78-1. 남자 4그룹 (49세이하)-접영 50m</t>
    <phoneticPr fontId="1" type="noConversion"/>
  </si>
  <si>
    <t>차성운</t>
  </si>
  <si>
    <t>김재식</t>
  </si>
  <si>
    <t>문건식</t>
  </si>
  <si>
    <t>최성희</t>
  </si>
  <si>
    <t>79. 남자 5그룹 (57세이하)-접영 50m</t>
    <phoneticPr fontId="1" type="noConversion"/>
  </si>
  <si>
    <t>이갑성</t>
  </si>
  <si>
    <t>아쿠홀릭스</t>
    <phoneticPr fontId="10" type="noConversion"/>
  </si>
  <si>
    <t>전용균</t>
  </si>
  <si>
    <t>80. 여자 1그룹 (29세이하)-평영 50m</t>
    <phoneticPr fontId="1" type="noConversion"/>
  </si>
  <si>
    <t>80-1. 여자 1그룹 (29세이하)-평영 50m</t>
    <phoneticPr fontId="1" type="noConversion"/>
  </si>
  <si>
    <t>최은주</t>
  </si>
  <si>
    <t>개인접수</t>
    <phoneticPr fontId="10" type="noConversion"/>
  </si>
  <si>
    <t>박민주</t>
  </si>
  <si>
    <t>국립한국해양대학교</t>
    <phoneticPr fontId="10" type="noConversion"/>
  </si>
  <si>
    <t>유호정</t>
  </si>
  <si>
    <t>고수정</t>
  </si>
  <si>
    <t>팀 돌핀</t>
    <phoneticPr fontId="10" type="noConversion"/>
  </si>
  <si>
    <t>80-2. 여자 1그룹 (29세이하)-평영 50m</t>
    <phoneticPr fontId="1" type="noConversion"/>
  </si>
  <si>
    <t>이유진</t>
  </si>
  <si>
    <t>신지은</t>
  </si>
  <si>
    <t>81. 여자 2그룹 (36세이하)-평영 50m</t>
    <phoneticPr fontId="1" type="noConversion"/>
  </si>
  <si>
    <t>81-1. 여자 2그룹 (36세이하)-평영 50m</t>
    <phoneticPr fontId="1" type="noConversion"/>
  </si>
  <si>
    <t>오하련</t>
  </si>
  <si>
    <t>김다빈</t>
  </si>
  <si>
    <t>배선영</t>
  </si>
  <si>
    <t>82. 여자 3그룹 (43세이하)-평영 50m</t>
    <phoneticPr fontId="1" type="noConversion"/>
  </si>
  <si>
    <t>82-1. 여자 3그룹 (43세이하)-평영 50m</t>
    <phoneticPr fontId="1" type="noConversion"/>
  </si>
  <si>
    <t>개인접수</t>
    <phoneticPr fontId="10" type="noConversion"/>
  </si>
  <si>
    <t>박나리</t>
  </si>
  <si>
    <t>보노보노</t>
    <phoneticPr fontId="10" type="noConversion"/>
  </si>
  <si>
    <t>안설희</t>
  </si>
  <si>
    <t>박인효</t>
  </si>
  <si>
    <t>김아라</t>
  </si>
  <si>
    <t>송윤지</t>
  </si>
  <si>
    <t>이세정</t>
  </si>
  <si>
    <t>83. 여자 4그룹 (49세이하)-평영 50m</t>
    <phoneticPr fontId="1" type="noConversion"/>
  </si>
  <si>
    <t>83-1. 여자 4그룹 (49세이하)-평영 50m</t>
    <phoneticPr fontId="1" type="noConversion"/>
  </si>
  <si>
    <t>전혜인</t>
  </si>
  <si>
    <t>홍선미</t>
  </si>
  <si>
    <t>류경미</t>
  </si>
  <si>
    <t>김수영</t>
    <phoneticPr fontId="10" type="noConversion"/>
  </si>
  <si>
    <t>김은경</t>
    <phoneticPr fontId="10" type="noConversion"/>
  </si>
  <si>
    <t>최영희</t>
  </si>
  <si>
    <t>김현정</t>
  </si>
  <si>
    <t>이지현</t>
  </si>
  <si>
    <t>성보경</t>
  </si>
  <si>
    <t>김지은</t>
  </si>
  <si>
    <t>김상은</t>
  </si>
  <si>
    <t>84. 여자 5그룹 (57세이하)-평영 50m</t>
    <phoneticPr fontId="1" type="noConversion"/>
  </si>
  <si>
    <t>정정아</t>
  </si>
  <si>
    <t>85. 여자 6그룹 (58세이상)-평영 50m</t>
    <phoneticPr fontId="1" type="noConversion"/>
  </si>
  <si>
    <t>아쿠홀릭스</t>
    <phoneticPr fontId="10" type="noConversion"/>
  </si>
  <si>
    <t>86. 남자 1그룹 (29세이하)-평영 50m</t>
    <phoneticPr fontId="1" type="noConversion"/>
  </si>
  <si>
    <t>86-1. 남자 1그룹 (29세이하)-평영 50m</t>
    <phoneticPr fontId="1" type="noConversion"/>
  </si>
  <si>
    <t>문희성</t>
  </si>
  <si>
    <t>김산</t>
  </si>
  <si>
    <t>강현우</t>
  </si>
  <si>
    <t>팀애옹스</t>
    <phoneticPr fontId="10" type="noConversion"/>
  </si>
  <si>
    <t>이주형</t>
  </si>
  <si>
    <t>86-2. 남자 1그룹 (29세이하)-평영 50m</t>
    <phoneticPr fontId="1" type="noConversion"/>
  </si>
  <si>
    <t>윤정한</t>
  </si>
  <si>
    <t>개인접수</t>
    <phoneticPr fontId="10" type="noConversion"/>
  </si>
  <si>
    <t>문성현</t>
  </si>
  <si>
    <t>박가윤</t>
  </si>
  <si>
    <t>고한준</t>
  </si>
  <si>
    <t>구호진</t>
  </si>
  <si>
    <t>백승우</t>
  </si>
  <si>
    <t>황동리</t>
  </si>
  <si>
    <t>신재원</t>
  </si>
  <si>
    <t>전민기</t>
  </si>
  <si>
    <t>진성민</t>
  </si>
  <si>
    <t>최윤호</t>
  </si>
  <si>
    <t>87. 남자 2그룹 (36세이하)-평영 50m</t>
    <phoneticPr fontId="1" type="noConversion"/>
  </si>
  <si>
    <t>정성훈</t>
  </si>
  <si>
    <t>김대윤</t>
  </si>
  <si>
    <t>최필성</t>
  </si>
  <si>
    <t>김성엽</t>
    <phoneticPr fontId="10" type="noConversion"/>
  </si>
  <si>
    <t>양철민</t>
  </si>
  <si>
    <t>87-1. 남자 2그룹 (36세이하)-평영 50m</t>
    <phoneticPr fontId="1" type="noConversion"/>
  </si>
  <si>
    <t>박민정</t>
  </si>
  <si>
    <t>진규동</t>
  </si>
  <si>
    <t>88. 남자 3그룹 (43세이하)-평영 50m</t>
    <phoneticPr fontId="1" type="noConversion"/>
  </si>
  <si>
    <t>김호덕</t>
  </si>
  <si>
    <t>황영균</t>
  </si>
  <si>
    <t>88-1. 남자 3그룹 (43세이하)-평영 50m</t>
    <phoneticPr fontId="1" type="noConversion"/>
  </si>
  <si>
    <t>정민철</t>
  </si>
  <si>
    <t>홍영준</t>
  </si>
  <si>
    <t>88-2. 남자 3그룹 (43세이하)-평영 50m</t>
    <phoneticPr fontId="1" type="noConversion"/>
  </si>
  <si>
    <t>김현석</t>
  </si>
  <si>
    <t>김형석</t>
  </si>
  <si>
    <t>정효직</t>
  </si>
  <si>
    <t>김대성</t>
  </si>
  <si>
    <t>김기영</t>
  </si>
  <si>
    <t>조영일</t>
  </si>
  <si>
    <t>89. 남자 4그룹 (49세이하)-평영 50m</t>
    <phoneticPr fontId="1" type="noConversion"/>
  </si>
  <si>
    <t>89-1. 남자 4그룹 (49세이하)-평영 50m</t>
    <phoneticPr fontId="1" type="noConversion"/>
  </si>
  <si>
    <t>손재훈</t>
  </si>
  <si>
    <t>박진현</t>
  </si>
  <si>
    <t>김근수</t>
  </si>
  <si>
    <t>허준철</t>
  </si>
  <si>
    <t>송유석</t>
  </si>
  <si>
    <t>아쿠홀릭스</t>
    <phoneticPr fontId="10" type="noConversion"/>
  </si>
  <si>
    <t>박종규</t>
  </si>
  <si>
    <t>노경준</t>
  </si>
  <si>
    <t>하태경</t>
  </si>
  <si>
    <t>89-2. 남자 4그룹 (49세이하)-평영 50m</t>
    <phoneticPr fontId="1" type="noConversion"/>
  </si>
  <si>
    <t>90. 남자 5그룹 (57세이하)-평영 50m</t>
    <phoneticPr fontId="1" type="noConversion"/>
  </si>
  <si>
    <t>강민철</t>
  </si>
  <si>
    <t>91. 여자 1그룹 (29세이하)-개인혼영 100m</t>
    <phoneticPr fontId="1" type="noConversion"/>
  </si>
  <si>
    <t>김진양</t>
  </si>
  <si>
    <t>팀오르카</t>
    <phoneticPr fontId="10" type="noConversion"/>
  </si>
  <si>
    <t>김민지</t>
  </si>
  <si>
    <t>91-1. 여자 1그룹 (29세이하)-개인혼영 100m</t>
    <phoneticPr fontId="1" type="noConversion"/>
  </si>
  <si>
    <t>92. 여자 2그룹 (36세이하)-개인혼영 100m</t>
    <phoneticPr fontId="1" type="noConversion"/>
  </si>
  <si>
    <t>92-1. 여자 2그룹 (36세이하)-개인혼영 100m</t>
    <phoneticPr fontId="1" type="noConversion"/>
  </si>
  <si>
    <t>안소현</t>
  </si>
  <si>
    <t>임나영</t>
  </si>
  <si>
    <t>All-Out</t>
    <phoneticPr fontId="10" type="noConversion"/>
  </si>
  <si>
    <t>정소영</t>
  </si>
  <si>
    <t>최소희</t>
  </si>
  <si>
    <t>93. 여자 3그룹 (43세이하)-개인혼영 100m</t>
    <phoneticPr fontId="1" type="noConversion"/>
  </si>
  <si>
    <t>우수연</t>
  </si>
  <si>
    <t>김수희</t>
  </si>
  <si>
    <t>94. 여자 4그룹 (49세이하)-개인혼영 100m</t>
    <phoneticPr fontId="1" type="noConversion"/>
  </si>
  <si>
    <t>안수영</t>
  </si>
  <si>
    <t>개인접수</t>
    <phoneticPr fontId="10" type="noConversion"/>
  </si>
  <si>
    <t>아쿠홀릭스</t>
    <phoneticPr fontId="10" type="noConversion"/>
  </si>
  <si>
    <t>95. 여자 5그룹 (57세이하)-개인혼영 100m</t>
    <phoneticPr fontId="1" type="noConversion"/>
  </si>
  <si>
    <t>아쿠홀릭스</t>
    <phoneticPr fontId="10" type="noConversion"/>
  </si>
  <si>
    <t>96. 남자 1그룹 (29세이하)-개인혼영 100m</t>
    <phoneticPr fontId="1" type="noConversion"/>
  </si>
  <si>
    <t>조진호</t>
  </si>
  <si>
    <t>BOOST</t>
    <phoneticPr fontId="10" type="noConversion"/>
  </si>
  <si>
    <t>이정환</t>
  </si>
  <si>
    <t>96-1. 남자 1그룹 (29세이하)-개인혼영 100m</t>
    <phoneticPr fontId="1" type="noConversion"/>
  </si>
  <si>
    <t>97. 남자 2그룹 (36세이하)-개인혼영 100m</t>
    <phoneticPr fontId="1" type="noConversion"/>
  </si>
  <si>
    <t>97-1. 남자 2그룹 (36세이하)-개인혼영 100m</t>
    <phoneticPr fontId="1" type="noConversion"/>
  </si>
  <si>
    <t>박재희</t>
  </si>
  <si>
    <t>팀정상</t>
    <phoneticPr fontId="10" type="noConversion"/>
  </si>
  <si>
    <t>장현욱</t>
  </si>
  <si>
    <t>98. 남자 3그룹 (43세이하)-개인혼영 100m</t>
    <phoneticPr fontId="1" type="noConversion"/>
  </si>
  <si>
    <t>98-1. 남자 3그룹 (43세이하)-개인혼영 100m</t>
    <phoneticPr fontId="1" type="noConversion"/>
  </si>
  <si>
    <t>신동훈</t>
  </si>
  <si>
    <t>양동훈</t>
  </si>
  <si>
    <t>정준화</t>
  </si>
  <si>
    <t>배승훈</t>
  </si>
  <si>
    <t>엄정웅</t>
  </si>
  <si>
    <t>99. 남자 4그룹 (49세이하)-개인혼영 100m</t>
    <phoneticPr fontId="1" type="noConversion"/>
  </si>
  <si>
    <t>99-1. 남자 4그룹 (49세이하)-개인혼영 100m</t>
    <phoneticPr fontId="1" type="noConversion"/>
  </si>
  <si>
    <t>수영in부산</t>
    <phoneticPr fontId="10" type="noConversion"/>
  </si>
  <si>
    <t>송재호</t>
  </si>
  <si>
    <t>개인접수</t>
    <phoneticPr fontId="10" type="noConversion"/>
  </si>
  <si>
    <t>허성렬</t>
  </si>
  <si>
    <t>100. 남자 5그룹 (57세이하)-개인혼영 100m</t>
    <phoneticPr fontId="1" type="noConversion"/>
  </si>
  <si>
    <t>이진호</t>
  </si>
  <si>
    <t>101. 여자 1그룹 (29세이하)-접영핀 50m</t>
    <phoneticPr fontId="1" type="noConversion"/>
  </si>
  <si>
    <t>개인접수</t>
    <phoneticPr fontId="10" type="noConversion"/>
  </si>
  <si>
    <t>102. 여자 2그룹 (36세이하)-접영핀 50m</t>
    <phoneticPr fontId="1" type="noConversion"/>
  </si>
  <si>
    <t>배민지</t>
  </si>
  <si>
    <t>개인접수</t>
    <phoneticPr fontId="10" type="noConversion"/>
  </si>
  <si>
    <t>류지현</t>
  </si>
  <si>
    <t>102-1. 여자 2그룹 (36세이하)-접영핀 50m</t>
    <phoneticPr fontId="1" type="noConversion"/>
  </si>
  <si>
    <t>102-2. 여자 2그룹 (36세이하)-접영핀 50m</t>
    <phoneticPr fontId="1" type="noConversion"/>
  </si>
  <si>
    <t>남혜윤</t>
  </si>
  <si>
    <t>허다예</t>
  </si>
  <si>
    <t>팀오르카</t>
    <phoneticPr fontId="10" type="noConversion"/>
  </si>
  <si>
    <t>양혜리</t>
  </si>
  <si>
    <t>103. 여자 3그룹 (43세이하)-접영핀 50m</t>
    <phoneticPr fontId="1" type="noConversion"/>
  </si>
  <si>
    <t>이혜정</t>
  </si>
  <si>
    <t>104. 여자 4그룹 (49세이하)-접영핀 50m</t>
    <phoneticPr fontId="1" type="noConversion"/>
  </si>
  <si>
    <t>개인접수</t>
    <phoneticPr fontId="10" type="noConversion"/>
  </si>
  <si>
    <t>104-1. 여자 4그룹 (49세이하)-접영핀 50m</t>
    <phoneticPr fontId="1" type="noConversion"/>
  </si>
  <si>
    <t>104-2. 여자 4그룹 (49세이하)-접영핀 50m</t>
    <phoneticPr fontId="1" type="noConversion"/>
  </si>
  <si>
    <t>김은경</t>
    <phoneticPr fontId="10" type="noConversion"/>
  </si>
  <si>
    <t>백승민</t>
  </si>
  <si>
    <t>석주진</t>
  </si>
  <si>
    <t>박미경</t>
  </si>
  <si>
    <t>105. 여자 5그룹 (57세이하)-접영핀 50m</t>
    <phoneticPr fontId="1" type="noConversion"/>
  </si>
  <si>
    <t>106. 남자 1그룹 (29세이하)-접영핀 50m</t>
    <phoneticPr fontId="1" type="noConversion"/>
  </si>
  <si>
    <t>이화진</t>
  </si>
  <si>
    <t>국립한국해양대학교</t>
    <phoneticPr fontId="10" type="noConversion"/>
  </si>
  <si>
    <t>손재형</t>
  </si>
  <si>
    <t>107. 남자 2그룹 (36세이하)-접영핀 50m</t>
    <phoneticPr fontId="1" type="noConversion"/>
  </si>
  <si>
    <t>108. 남자 3그룹 (43세이하)-접영핀 50m</t>
    <phoneticPr fontId="1" type="noConversion"/>
  </si>
  <si>
    <t>민병철</t>
  </si>
  <si>
    <t>108-1. 남자 3그룹 (43세이하)-접영핀 50m</t>
    <phoneticPr fontId="1" type="noConversion"/>
  </si>
  <si>
    <t>이정훈</t>
  </si>
  <si>
    <t>109. 남자 4그룹 (49세이하)-접영핀 50m</t>
    <phoneticPr fontId="1" type="noConversion"/>
  </si>
  <si>
    <t>유상훈</t>
  </si>
  <si>
    <t>김종만</t>
  </si>
  <si>
    <t>아쿠홀릭스</t>
    <phoneticPr fontId="10" type="noConversion"/>
  </si>
  <si>
    <t>110. 남자 5그룹 (57세이하)-접영핀 50m</t>
    <phoneticPr fontId="1" type="noConversion"/>
  </si>
  <si>
    <t>임형택</t>
  </si>
  <si>
    <t>이장호</t>
  </si>
  <si>
    <t>박희주</t>
  </si>
  <si>
    <t>111. 남자 6그룹 (58세이상)-접영핀 50m</t>
    <phoneticPr fontId="1" type="noConversion"/>
  </si>
  <si>
    <t>112. 여자 1그룹 (29세이하)-자유형 50m</t>
    <phoneticPr fontId="1" type="noConversion"/>
  </si>
  <si>
    <t>팀오르카</t>
    <phoneticPr fontId="10" type="noConversion"/>
  </si>
  <si>
    <t>113. 여자 2그룹 (36세이하)-자유형 50m</t>
    <phoneticPr fontId="1" type="noConversion"/>
  </si>
  <si>
    <t>113-1. 여자 2그룹 (36세이하)-자유형 50m</t>
    <phoneticPr fontId="1" type="noConversion"/>
  </si>
  <si>
    <t>개인접수</t>
    <phoneticPr fontId="10" type="noConversion"/>
  </si>
  <si>
    <t>개인접수</t>
    <phoneticPr fontId="10" type="noConversion"/>
  </si>
  <si>
    <t>113-2. 여자 2그룹 (36세이하)-자유형 50m</t>
    <phoneticPr fontId="1" type="noConversion"/>
  </si>
  <si>
    <t>114. 여자 3그룹 (43세이하)-자유형 50m</t>
    <phoneticPr fontId="1" type="noConversion"/>
  </si>
  <si>
    <t>송미주</t>
  </si>
  <si>
    <t>114-1. 여자 3그룹 (43세이하)-자유형 50m</t>
    <phoneticPr fontId="1" type="noConversion"/>
  </si>
  <si>
    <t>114-2. 여자 3그룹 (43세이하)-자유형 50m</t>
    <phoneticPr fontId="1" type="noConversion"/>
  </si>
  <si>
    <t>팀애옹스</t>
    <phoneticPr fontId="10" type="noConversion"/>
  </si>
  <si>
    <t>115. 여자 4그룹 (49세이하)-자유형 50m</t>
    <phoneticPr fontId="1" type="noConversion"/>
  </si>
  <si>
    <t>팀용원</t>
    <phoneticPr fontId="10" type="noConversion"/>
  </si>
  <si>
    <t>115-1. 여자 4그룹 (49세이하)-자유형 50m</t>
    <phoneticPr fontId="1" type="noConversion"/>
  </si>
  <si>
    <t>115-2. 여자 4그룹 (49세이하)-자유형 50m</t>
    <phoneticPr fontId="1" type="noConversion"/>
  </si>
  <si>
    <t>이유지</t>
    <phoneticPr fontId="10" type="noConversion"/>
  </si>
  <si>
    <t>개인접수</t>
    <phoneticPr fontId="10" type="noConversion"/>
  </si>
  <si>
    <t>황선경</t>
  </si>
  <si>
    <t>116. 여자 5그룹 (57세이하)-자유형 50m</t>
    <phoneticPr fontId="1" type="noConversion"/>
  </si>
  <si>
    <t>117. 남자 1그룹 (29세이하)-자유형 50m</t>
    <phoneticPr fontId="1" type="noConversion"/>
  </si>
  <si>
    <t>117-1. 남자 1그룹 (29세이하)-자유형 50m</t>
    <phoneticPr fontId="1" type="noConversion"/>
  </si>
  <si>
    <t>개인접수</t>
    <phoneticPr fontId="10" type="noConversion"/>
  </si>
  <si>
    <t>117-2. 남자 1그룹 (29세이하)-자유형 50m</t>
    <phoneticPr fontId="1" type="noConversion"/>
  </si>
  <si>
    <t>박건호</t>
  </si>
  <si>
    <t>이성재</t>
  </si>
  <si>
    <t>117-3. 남자 1그룹 (29세이하)-자유형 50m</t>
    <phoneticPr fontId="1" type="noConversion"/>
  </si>
  <si>
    <t>이연우</t>
  </si>
  <si>
    <t>118. 남자 2그룹 (36세이하)-자유형 50m</t>
    <phoneticPr fontId="1" type="noConversion"/>
  </si>
  <si>
    <t>118-1. 남자 2그룹 (36세이하)-자유형 50m</t>
    <phoneticPr fontId="1" type="noConversion"/>
  </si>
  <si>
    <t>118-2. 남자 2그룹 (36세이하)-자유형 50m</t>
    <phoneticPr fontId="1" type="noConversion"/>
  </si>
  <si>
    <t>팀용원</t>
    <phoneticPr fontId="10" type="noConversion"/>
  </si>
  <si>
    <t>119. 남자 3그룹 (43세이하)-자유형 50m</t>
    <phoneticPr fontId="1" type="noConversion"/>
  </si>
  <si>
    <t>홍성민</t>
  </si>
  <si>
    <t>119-1. 남자 3그룹 (43세이하)-자유형 50m</t>
    <phoneticPr fontId="1" type="noConversion"/>
  </si>
  <si>
    <t>119-2. 남자 3그룹 (43세이하)-자유형 50m</t>
    <phoneticPr fontId="1" type="noConversion"/>
  </si>
  <si>
    <t>120. 남자 4그룹 (49세이하)-자유형 50m</t>
    <phoneticPr fontId="1" type="noConversion"/>
  </si>
  <si>
    <t>120-1. 남자 4그룹 (49세이하)-자유형 50m</t>
    <phoneticPr fontId="1" type="noConversion"/>
  </si>
  <si>
    <t>팀애옹스</t>
    <phoneticPr fontId="10" type="noConversion"/>
  </si>
  <si>
    <t>120-2. 남자 4그룹 (49세이하)-자유형 50m</t>
    <phoneticPr fontId="1" type="noConversion"/>
  </si>
  <si>
    <t>121. 남자 5그룹 (57세이하)-자유형 50m</t>
    <phoneticPr fontId="1" type="noConversion"/>
  </si>
  <si>
    <t>122. 남자 6그룹 (58세이상)-자유형 50m</t>
    <phoneticPr fontId="1" type="noConversion"/>
  </si>
  <si>
    <t>123. 여자 계영200m (-43세)</t>
    <phoneticPr fontId="1" type="noConversion"/>
  </si>
  <si>
    <t>수영in부산</t>
    <phoneticPr fontId="10" type="noConversion"/>
  </si>
  <si>
    <t>김해문화관광재단</t>
    <phoneticPr fontId="10" type="noConversion"/>
  </si>
  <si>
    <t>국립한국해양대학교</t>
    <phoneticPr fontId="10" type="noConversion"/>
  </si>
  <si>
    <t>파닥</t>
    <phoneticPr fontId="10" type="noConversion"/>
  </si>
  <si>
    <t>팀 돌핀</t>
    <phoneticPr fontId="10" type="noConversion"/>
  </si>
  <si>
    <t>보노보노</t>
    <phoneticPr fontId="10" type="noConversion"/>
  </si>
  <si>
    <t>팀용원</t>
    <phoneticPr fontId="10" type="noConversion"/>
  </si>
  <si>
    <t>IMD 스위밍클럽</t>
    <phoneticPr fontId="10" type="noConversion"/>
  </si>
  <si>
    <t>팀오르카</t>
    <phoneticPr fontId="10" type="noConversion"/>
  </si>
  <si>
    <t>팀애옹스</t>
    <phoneticPr fontId="10" type="noConversion"/>
  </si>
  <si>
    <t>팀정상</t>
    <phoneticPr fontId="10" type="noConversion"/>
  </si>
  <si>
    <t>123-1. 여자 계영200m (-43세)</t>
    <phoneticPr fontId="1" type="noConversion"/>
  </si>
  <si>
    <t>124. 여자 계영200m (+43세)</t>
    <phoneticPr fontId="1" type="noConversion"/>
  </si>
  <si>
    <t>김해문화관광재단</t>
    <phoneticPr fontId="10" type="noConversion"/>
  </si>
  <si>
    <t>125. 남자 계영200m (-43세)</t>
    <phoneticPr fontId="1" type="noConversion"/>
  </si>
  <si>
    <t>125-1. 남자 계영200m (-43세)</t>
    <phoneticPr fontId="1" type="noConversion"/>
  </si>
  <si>
    <t>아쿠홀릭스</t>
    <phoneticPr fontId="10" type="noConversion"/>
  </si>
  <si>
    <t>BOOST</t>
    <phoneticPr fontId="10" type="noConversion"/>
  </si>
  <si>
    <t>엔도르핀</t>
    <phoneticPr fontId="10" type="noConversion"/>
  </si>
  <si>
    <t>125-2. 남자 계영200m (-43세)</t>
    <phoneticPr fontId="1" type="noConversion"/>
  </si>
  <si>
    <t>국립한국해양대학교</t>
    <phoneticPr fontId="10" type="noConversion"/>
  </si>
  <si>
    <t>팀용원</t>
    <phoneticPr fontId="10" type="noConversion"/>
  </si>
  <si>
    <t>IMD 스위밍클럽</t>
    <phoneticPr fontId="10" type="noConversion"/>
  </si>
  <si>
    <t>팀오르카</t>
    <phoneticPr fontId="10" type="noConversion"/>
  </si>
  <si>
    <t>팀정상</t>
    <phoneticPr fontId="10" type="noConversion"/>
  </si>
  <si>
    <t>126. 남자 계영200m (+43세)</t>
    <phoneticPr fontId="1" type="noConversion"/>
  </si>
  <si>
    <t>수영in부산</t>
    <phoneticPr fontId="10" type="noConversion"/>
  </si>
  <si>
    <t>김해문화관광재단</t>
    <phoneticPr fontId="10" type="noConversion"/>
  </si>
  <si>
    <t>팀용원</t>
    <phoneticPr fontId="10" type="noConversion"/>
  </si>
  <si>
    <t>팀오르카</t>
    <phoneticPr fontId="10" type="noConversion"/>
  </si>
  <si>
    <t>팀애옹스</t>
    <phoneticPr fontId="10" type="noConversion"/>
  </si>
  <si>
    <t>팀정상</t>
    <phoneticPr fontId="10" type="noConversion"/>
  </si>
  <si>
    <t>46-3. 남자 혼계영200m (+43세)</t>
    <phoneticPr fontId="1" type="noConversion"/>
  </si>
  <si>
    <t>김해문화관광재단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</si>
</sst>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\'00&quot;˝&quot;00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000000"/>
      <name val="Pretendard_m"/>
      <family val="2"/>
    </font>
    <font>
      <sz val="11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CDDD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 style="thin">
        <color rgb="FF595757"/>
      </right>
      <top style="thin">
        <color rgb="FF595757"/>
      </top>
      <bottom style="thin">
        <color rgb="FF595757"/>
      </bottom>
      <diagonal/>
    </border>
    <border>
      <left style="thin">
        <color rgb="FF595757"/>
      </left>
      <right style="thin">
        <color rgb="FF595757"/>
      </right>
      <top style="thin">
        <color rgb="FF595757"/>
      </top>
      <bottom style="thin">
        <color rgb="FF595757"/>
      </bottom>
      <diagonal/>
    </border>
    <border>
      <left style="thin">
        <color rgb="FF595757"/>
      </left>
      <right/>
      <top style="thin">
        <color rgb="FF595757"/>
      </top>
      <bottom style="thin">
        <color rgb="FF59575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95757"/>
      </left>
      <right/>
      <top style="thin">
        <color rgb="FF59575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595757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95757"/>
      </left>
      <right style="thin">
        <color rgb="FF595757"/>
      </right>
      <top style="thin">
        <color rgb="FF595757"/>
      </top>
      <bottom style="thin">
        <color rgb="FF000000"/>
      </bottom>
      <diagonal/>
    </border>
    <border>
      <left style="thin">
        <color rgb="FF595757"/>
      </left>
      <right style="thin">
        <color rgb="FF595757"/>
      </right>
      <top style="thin">
        <color rgb="FF595757"/>
      </top>
      <bottom/>
      <diagonal/>
    </border>
    <border>
      <left/>
      <right style="thin">
        <color rgb="FF595757"/>
      </right>
      <top style="thin">
        <color rgb="FF59575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595757"/>
      </right>
      <top style="thin">
        <color rgb="FF595757"/>
      </top>
      <bottom style="thin">
        <color rgb="FF595757"/>
      </bottom>
      <diagonal/>
    </border>
    <border>
      <left style="thin">
        <color rgb="FF595757"/>
      </left>
      <right style="thin">
        <color auto="1"/>
      </right>
      <top style="thin">
        <color rgb="FF595757"/>
      </top>
      <bottom style="thin">
        <color rgb="FF595757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595757"/>
      </top>
      <bottom style="thin">
        <color rgb="FF595757"/>
      </bottom>
      <diagonal/>
    </border>
    <border>
      <left style="thin">
        <color rgb="FF595757"/>
      </left>
      <right style="thin">
        <color auto="1"/>
      </right>
      <top style="thin">
        <color rgb="FF59575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59575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757"/>
      </left>
      <right/>
      <top/>
      <bottom style="thin">
        <color rgb="FF595757"/>
      </bottom>
      <diagonal/>
    </border>
    <border>
      <left style="thin">
        <color rgb="FF595757"/>
      </left>
      <right style="thin">
        <color rgb="FF595757"/>
      </right>
      <top/>
      <bottom style="thin">
        <color rgb="FF595757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0" fontId="6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6" fillId="4" borderId="6" xfId="0" applyFont="1" applyFill="1" applyBorder="1">
      <alignment vertical="center"/>
    </xf>
    <xf numFmtId="0" fontId="2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 wrapText="1"/>
    </xf>
    <xf numFmtId="0" fontId="7" fillId="3" borderId="9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2" fillId="0" borderId="0" xfId="0" applyFont="1" applyFill="1" applyBorder="1">
      <alignment vertical="center"/>
    </xf>
    <xf numFmtId="0" fontId="5" fillId="2" borderId="11" xfId="0" applyFont="1" applyFill="1" applyBorder="1" applyAlignment="1">
      <alignment horizontal="center" vertical="center" wrapText="1"/>
    </xf>
    <xf numFmtId="176" fontId="2" fillId="0" borderId="13" xfId="0" applyNumberFormat="1" applyFont="1" applyBorder="1" applyAlignment="1">
      <alignment horizontal="center" vertical="center" wrapText="1"/>
    </xf>
    <xf numFmtId="176" fontId="7" fillId="0" borderId="13" xfId="0" applyNumberFormat="1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" fontId="5" fillId="0" borderId="14" xfId="0" applyNumberFormat="1" applyFont="1" applyFill="1" applyBorder="1" applyAlignment="1">
      <alignment horizontal="center" vertical="center" wrapText="1"/>
    </xf>
    <xf numFmtId="0" fontId="2" fillId="0" borderId="16" xfId="0" applyNumberFormat="1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vertical="center"/>
    </xf>
    <xf numFmtId="0" fontId="2" fillId="0" borderId="18" xfId="0" applyFont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6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vertical="center"/>
    </xf>
    <xf numFmtId="0" fontId="5" fillId="0" borderId="1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6" fillId="0" borderId="18" xfId="0" applyFont="1" applyFill="1" applyBorder="1">
      <alignment vertical="center"/>
    </xf>
    <xf numFmtId="1" fontId="5" fillId="0" borderId="19" xfId="0" applyNumberFormat="1" applyFont="1" applyFill="1" applyBorder="1" applyAlignment="1">
      <alignment horizontal="center" vertical="center" wrapText="1"/>
    </xf>
    <xf numFmtId="0" fontId="5" fillId="0" borderId="18" xfId="0" applyFont="1" applyBorder="1">
      <alignment vertical="center"/>
    </xf>
    <xf numFmtId="176" fontId="2" fillId="3" borderId="4" xfId="0" applyNumberFormat="1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16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>
      <alignment vertical="center"/>
    </xf>
    <xf numFmtId="0" fontId="4" fillId="3" borderId="17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0" fontId="2" fillId="3" borderId="18" xfId="0" applyFont="1" applyFill="1" applyBorder="1">
      <alignment vertical="center"/>
    </xf>
    <xf numFmtId="0" fontId="4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7" fillId="3" borderId="0" xfId="0" applyNumberFormat="1" applyFont="1" applyFill="1" applyBorder="1" applyAlignment="1">
      <alignment horizontal="center" vertical="center" wrapText="1"/>
    </xf>
    <xf numFmtId="0" fontId="2" fillId="0" borderId="22" xfId="0" applyNumberFormat="1" applyFont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176" fontId="7" fillId="0" borderId="0" xfId="0" applyNumberFormat="1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4" borderId="0" xfId="0" applyFont="1" applyFill="1" applyBorder="1">
      <alignment vertical="center"/>
    </xf>
    <xf numFmtId="0" fontId="7" fillId="4" borderId="0" xfId="0" applyNumberFormat="1" applyFont="1" applyFill="1" applyBorder="1" applyAlignment="1">
      <alignment horizontal="center" vertical="center" wrapText="1"/>
    </xf>
    <xf numFmtId="0" fontId="4" fillId="4" borderId="0" xfId="0" applyFont="1" applyFill="1" applyBorder="1">
      <alignment vertical="center"/>
    </xf>
    <xf numFmtId="176" fontId="7" fillId="0" borderId="23" xfId="0" applyNumberFormat="1" applyFont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4" xfId="0" applyFont="1" applyFill="1" applyBorder="1">
      <alignment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vertical="center"/>
    </xf>
    <xf numFmtId="0" fontId="11" fillId="6" borderId="2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2" fillId="7" borderId="4" xfId="0" applyNumberFormat="1" applyFont="1" applyFill="1" applyBorder="1" applyAlignment="1">
      <alignment horizontal="center" vertical="center" wrapText="1"/>
    </xf>
    <xf numFmtId="0" fontId="2" fillId="7" borderId="16" xfId="0" applyNumberFormat="1" applyFont="1" applyFill="1" applyBorder="1" applyAlignment="1">
      <alignment horizontal="center" vertical="center" wrapText="1"/>
    </xf>
    <xf numFmtId="0" fontId="2" fillId="7" borderId="18" xfId="0" applyFont="1" applyFill="1" applyBorder="1">
      <alignment vertical="center"/>
    </xf>
    <xf numFmtId="0" fontId="2" fillId="7" borderId="0" xfId="0" applyFont="1" applyFill="1" applyBorder="1">
      <alignment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6" fillId="7" borderId="0" xfId="0" applyFont="1" applyFill="1" applyBorder="1">
      <alignment vertical="center"/>
    </xf>
    <xf numFmtId="0" fontId="6" fillId="7" borderId="18" xfId="0" applyFont="1" applyFill="1" applyBorder="1">
      <alignment vertical="center"/>
    </xf>
    <xf numFmtId="0" fontId="14" fillId="6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2" fillId="3" borderId="28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5" fillId="7" borderId="0" xfId="0" applyFont="1" applyFill="1" applyBorder="1">
      <alignment vertical="center"/>
    </xf>
    <xf numFmtId="0" fontId="5" fillId="7" borderId="18" xfId="0" applyFont="1" applyFill="1" applyBorder="1">
      <alignment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13"/>
  <sheetViews>
    <sheetView tabSelected="1" view="pageBreakPreview" topLeftCell="A1169" zoomScale="115" zoomScaleNormal="115" zoomScaleSheetLayoutView="115" workbookViewId="0">
      <selection activeCell="K1182" sqref="K1182"/>
    </sheetView>
  </sheetViews>
  <sheetFormatPr defaultColWidth="9" defaultRowHeight="16.350000000000001" customHeight="1"/>
  <cols>
    <col min="1" max="1" width="8.125" style="29" customWidth="1"/>
    <col min="2" max="2" width="27" style="30" customWidth="1"/>
    <col min="3" max="3" width="24.125" style="30" bestFit="1" customWidth="1"/>
    <col min="4" max="4" width="18.125" style="27" customWidth="1"/>
    <col min="5" max="5" width="22.625" style="27" customWidth="1"/>
    <col min="6" max="6" width="7.25" style="27" customWidth="1"/>
    <col min="7" max="7" width="11.25" style="27" customWidth="1"/>
    <col min="8" max="8" width="9.375" style="12" hidden="1" customWidth="1"/>
    <col min="9" max="10" width="9.375" style="12" customWidth="1"/>
    <col min="11" max="11" width="24.375" style="12" bestFit="1" customWidth="1"/>
    <col min="12" max="13" width="9" style="12"/>
    <col min="14" max="14" width="10.5" style="12" bestFit="1" customWidth="1"/>
    <col min="15" max="16384" width="9" style="12"/>
  </cols>
  <sheetData>
    <row r="1" spans="1:16" s="35" customFormat="1" ht="16.350000000000001" hidden="1" customHeight="1">
      <c r="A1" s="4"/>
      <c r="B1" s="5"/>
      <c r="C1" s="6"/>
      <c r="D1" s="38"/>
      <c r="E1" s="38"/>
      <c r="F1" s="38"/>
      <c r="G1" s="38"/>
    </row>
    <row r="2" spans="1:16" ht="16.350000000000001" hidden="1" customHeight="1">
      <c r="A2" s="108"/>
      <c r="B2" s="108"/>
      <c r="C2" s="108"/>
      <c r="D2" s="108"/>
      <c r="E2" s="108"/>
      <c r="F2" s="108"/>
      <c r="G2" s="108"/>
    </row>
    <row r="3" spans="1:16" ht="16.350000000000001" hidden="1" customHeight="1">
      <c r="A3" s="104"/>
      <c r="B3" s="14"/>
      <c r="C3" s="14"/>
      <c r="D3" s="105"/>
      <c r="E3" s="105"/>
      <c r="F3" s="106"/>
      <c r="G3" s="106"/>
      <c r="L3" s="26">
        <v>1</v>
      </c>
      <c r="M3" s="26">
        <v>5</v>
      </c>
      <c r="N3" s="26"/>
      <c r="O3" s="26">
        <v>1</v>
      </c>
      <c r="P3" s="26">
        <v>10</v>
      </c>
    </row>
    <row r="4" spans="1:16" ht="16.350000000000001" hidden="1" customHeight="1">
      <c r="A4" s="104"/>
      <c r="B4" s="14"/>
      <c r="C4" s="14"/>
      <c r="D4" s="105"/>
      <c r="E4" s="107"/>
      <c r="F4" s="106"/>
      <c r="G4" s="106"/>
      <c r="L4" s="26">
        <v>2</v>
      </c>
      <c r="M4" s="26">
        <v>3</v>
      </c>
      <c r="N4" s="26"/>
      <c r="O4" s="26">
        <v>2</v>
      </c>
      <c r="P4" s="26">
        <v>6</v>
      </c>
    </row>
    <row r="5" spans="1:16" ht="16.350000000000001" hidden="1" customHeight="1">
      <c r="A5" s="104"/>
      <c r="B5" s="14"/>
      <c r="C5" s="14"/>
      <c r="D5" s="105"/>
      <c r="E5" s="107"/>
      <c r="F5" s="106"/>
      <c r="G5" s="106"/>
      <c r="L5" s="26">
        <v>3</v>
      </c>
      <c r="M5" s="26">
        <v>1</v>
      </c>
      <c r="N5" s="26"/>
      <c r="O5" s="26">
        <v>3</v>
      </c>
      <c r="P5" s="26">
        <v>2</v>
      </c>
    </row>
    <row r="6" spans="1:16" ht="16.350000000000001" hidden="1" customHeight="1">
      <c r="A6" s="104"/>
      <c r="B6" s="14"/>
      <c r="C6" s="14"/>
      <c r="D6" s="105"/>
      <c r="E6" s="107"/>
      <c r="F6" s="106"/>
      <c r="G6" s="106"/>
      <c r="L6" s="26">
        <v>4</v>
      </c>
      <c r="M6" s="26"/>
      <c r="N6" s="26"/>
      <c r="O6" s="26">
        <v>4</v>
      </c>
      <c r="P6" s="26"/>
    </row>
    <row r="7" spans="1:16" ht="16.350000000000001" hidden="1" customHeight="1">
      <c r="A7" s="104"/>
      <c r="B7" s="14"/>
      <c r="C7" s="14"/>
      <c r="D7" s="105"/>
      <c r="E7" s="107"/>
      <c r="F7" s="106"/>
      <c r="G7" s="106"/>
      <c r="L7" s="26">
        <v>5</v>
      </c>
      <c r="M7" s="26"/>
      <c r="N7" s="26"/>
      <c r="O7" s="26">
        <v>5</v>
      </c>
      <c r="P7" s="26"/>
    </row>
    <row r="8" spans="1:16" ht="16.350000000000001" hidden="1" customHeight="1">
      <c r="A8" s="104"/>
      <c r="B8" s="14"/>
      <c r="C8" s="14"/>
      <c r="D8" s="105"/>
      <c r="E8" s="107"/>
      <c r="F8" s="106"/>
      <c r="G8" s="106"/>
      <c r="L8" s="26">
        <v>6</v>
      </c>
      <c r="M8" s="26"/>
      <c r="N8" s="26"/>
      <c r="O8" s="26">
        <v>6</v>
      </c>
      <c r="P8" s="26"/>
    </row>
    <row r="9" spans="1:16" ht="16.350000000000001" hidden="1" customHeight="1">
      <c r="A9" s="104"/>
      <c r="B9" s="14"/>
      <c r="C9" s="14"/>
      <c r="D9" s="105"/>
      <c r="E9" s="107"/>
      <c r="F9" s="106"/>
      <c r="G9" s="106"/>
      <c r="L9" s="26">
        <v>7</v>
      </c>
      <c r="M9" s="26"/>
      <c r="N9" s="26"/>
      <c r="O9" s="26">
        <v>7</v>
      </c>
      <c r="P9" s="26"/>
    </row>
    <row r="10" spans="1:16" ht="16.350000000000001" hidden="1" customHeight="1">
      <c r="A10" s="104"/>
      <c r="B10" s="14"/>
      <c r="C10" s="14"/>
      <c r="D10" s="105"/>
      <c r="E10" s="107"/>
      <c r="F10" s="106"/>
      <c r="G10" s="106"/>
      <c r="L10" s="26">
        <v>8</v>
      </c>
      <c r="M10" s="26"/>
      <c r="N10" s="26"/>
      <c r="O10" s="26">
        <v>8</v>
      </c>
      <c r="P10" s="26"/>
    </row>
    <row r="11" spans="1:16" ht="16.350000000000001" hidden="1" customHeight="1">
      <c r="A11" s="104"/>
      <c r="B11" s="14"/>
      <c r="C11" s="14"/>
      <c r="D11" s="105"/>
      <c r="E11" s="107"/>
      <c r="F11" s="106"/>
      <c r="G11" s="106"/>
      <c r="L11" s="26">
        <v>9</v>
      </c>
      <c r="M11" s="26"/>
      <c r="N11" s="26"/>
      <c r="O11" s="26">
        <v>9</v>
      </c>
      <c r="P11" s="26"/>
    </row>
    <row r="12" spans="1:16" ht="16.350000000000001" hidden="1" customHeight="1">
      <c r="A12" s="104"/>
      <c r="B12" s="14"/>
      <c r="C12" s="14"/>
      <c r="D12" s="105"/>
      <c r="E12" s="107"/>
      <c r="F12" s="106"/>
      <c r="G12" s="106"/>
      <c r="L12" s="26">
        <v>10</v>
      </c>
      <c r="M12" s="26"/>
      <c r="N12" s="26"/>
      <c r="O12" s="26">
        <v>10</v>
      </c>
      <c r="P12" s="26"/>
    </row>
    <row r="13" spans="1:16" ht="16.350000000000001" hidden="1" customHeight="1">
      <c r="A13" s="104"/>
      <c r="B13" s="14"/>
      <c r="C13" s="14"/>
      <c r="D13" s="105"/>
      <c r="E13" s="107"/>
      <c r="F13" s="106"/>
      <c r="G13" s="106"/>
      <c r="L13" s="26">
        <v>11</v>
      </c>
      <c r="M13" s="26"/>
      <c r="N13" s="26"/>
      <c r="O13" s="26">
        <v>11</v>
      </c>
      <c r="P13" s="26"/>
    </row>
    <row r="14" spans="1:16" ht="16.350000000000001" hidden="1" customHeight="1">
      <c r="A14" s="104"/>
      <c r="B14" s="14"/>
      <c r="C14" s="14"/>
      <c r="D14" s="105"/>
      <c r="E14" s="107"/>
      <c r="F14" s="106"/>
      <c r="G14" s="106"/>
      <c r="L14" s="26">
        <v>12</v>
      </c>
      <c r="M14" s="26"/>
      <c r="N14" s="26"/>
      <c r="O14" s="26">
        <v>12</v>
      </c>
      <c r="P14" s="26"/>
    </row>
    <row r="15" spans="1:16" ht="16.350000000000001" hidden="1" customHeight="1">
      <c r="A15" s="104"/>
      <c r="B15" s="14"/>
      <c r="C15" s="14"/>
      <c r="D15" s="105"/>
      <c r="E15" s="107"/>
      <c r="F15" s="106"/>
      <c r="G15" s="106"/>
      <c r="L15" s="26">
        <v>13</v>
      </c>
      <c r="M15" s="26"/>
      <c r="N15" s="26"/>
      <c r="O15" s="26">
        <v>13</v>
      </c>
      <c r="P15" s="26"/>
    </row>
    <row r="16" spans="1:16" ht="16.350000000000001" hidden="1" customHeight="1">
      <c r="A16" s="104"/>
      <c r="B16" s="14"/>
      <c r="C16" s="14"/>
      <c r="D16" s="105"/>
      <c r="E16" s="107"/>
      <c r="F16" s="106"/>
      <c r="G16" s="106"/>
      <c r="L16" s="26">
        <v>14</v>
      </c>
      <c r="M16" s="26"/>
      <c r="N16" s="26"/>
      <c r="O16" s="26">
        <v>14</v>
      </c>
      <c r="P16" s="26"/>
    </row>
    <row r="17" spans="1:16" ht="16.350000000000001" hidden="1" customHeight="1">
      <c r="A17" s="104"/>
      <c r="B17" s="14"/>
      <c r="C17" s="14"/>
      <c r="D17" s="105"/>
      <c r="E17" s="107"/>
      <c r="F17" s="106"/>
      <c r="G17" s="106"/>
      <c r="L17" s="26">
        <v>15</v>
      </c>
      <c r="M17" s="26"/>
      <c r="N17" s="26"/>
      <c r="O17" s="26">
        <v>15</v>
      </c>
      <c r="P17" s="26"/>
    </row>
    <row r="18" spans="1:16" ht="16.350000000000001" hidden="1" customHeight="1">
      <c r="A18" s="104"/>
      <c r="B18" s="14"/>
      <c r="C18" s="14"/>
      <c r="D18" s="105"/>
      <c r="E18" s="107"/>
      <c r="F18" s="106"/>
      <c r="G18" s="106"/>
      <c r="L18" s="26">
        <v>16</v>
      </c>
      <c r="M18" s="26"/>
      <c r="N18" s="26"/>
      <c r="O18" s="26">
        <v>16</v>
      </c>
      <c r="P18" s="26"/>
    </row>
    <row r="19" spans="1:16" ht="16.350000000000001" hidden="1" customHeight="1">
      <c r="A19" s="104"/>
      <c r="B19" s="14"/>
      <c r="C19" s="14"/>
      <c r="D19" s="105"/>
      <c r="E19" s="107"/>
      <c r="F19" s="106"/>
      <c r="G19" s="106"/>
      <c r="L19" s="26">
        <v>17</v>
      </c>
      <c r="M19" s="26"/>
      <c r="N19" s="26"/>
      <c r="O19" s="26">
        <v>17</v>
      </c>
      <c r="P19" s="26"/>
    </row>
    <row r="20" spans="1:16" ht="16.350000000000001" hidden="1" customHeight="1">
      <c r="A20" s="104"/>
      <c r="B20" s="14"/>
      <c r="C20" s="14"/>
      <c r="D20" s="105"/>
      <c r="E20" s="107"/>
      <c r="F20" s="106"/>
      <c r="G20" s="106"/>
      <c r="L20" s="26">
        <v>18</v>
      </c>
      <c r="M20" s="26"/>
      <c r="N20" s="26"/>
      <c r="O20" s="26">
        <v>18</v>
      </c>
      <c r="P20" s="26"/>
    </row>
    <row r="21" spans="1:16" ht="16.350000000000001" hidden="1" customHeight="1">
      <c r="A21" s="104"/>
      <c r="B21" s="14"/>
      <c r="C21" s="14"/>
      <c r="D21" s="105"/>
      <c r="E21" s="107"/>
      <c r="F21" s="106"/>
      <c r="G21" s="106"/>
      <c r="L21" s="26">
        <v>19</v>
      </c>
      <c r="M21" s="26"/>
      <c r="N21" s="26"/>
      <c r="O21" s="26">
        <v>19</v>
      </c>
      <c r="P21" s="26"/>
    </row>
    <row r="22" spans="1:16" ht="16.350000000000001" hidden="1" customHeight="1">
      <c r="A22" s="104"/>
      <c r="B22" s="14"/>
      <c r="C22" s="14"/>
      <c r="D22" s="105"/>
      <c r="E22" s="107"/>
      <c r="F22" s="106"/>
      <c r="G22" s="106"/>
      <c r="L22" s="26">
        <v>20</v>
      </c>
      <c r="M22" s="26"/>
      <c r="N22" s="26"/>
      <c r="O22" s="26">
        <v>20</v>
      </c>
      <c r="P22" s="26"/>
    </row>
    <row r="23" spans="1:16" ht="16.350000000000001" hidden="1" customHeight="1">
      <c r="A23" s="104"/>
      <c r="B23" s="14"/>
      <c r="C23" s="14"/>
      <c r="D23" s="105"/>
      <c r="E23" s="107"/>
      <c r="F23" s="106"/>
      <c r="G23" s="106"/>
      <c r="L23" s="26">
        <v>21</v>
      </c>
      <c r="M23" s="26"/>
      <c r="N23" s="26"/>
      <c r="O23" s="26">
        <v>21</v>
      </c>
      <c r="P23" s="26"/>
    </row>
    <row r="24" spans="1:16" ht="16.350000000000001" hidden="1" customHeight="1">
      <c r="A24" s="104"/>
      <c r="B24" s="14"/>
      <c r="C24" s="14"/>
      <c r="D24" s="105"/>
      <c r="E24" s="107"/>
      <c r="F24" s="106"/>
      <c r="G24" s="106"/>
      <c r="L24" s="26">
        <v>22</v>
      </c>
      <c r="M24" s="26"/>
      <c r="N24" s="26"/>
      <c r="O24" s="26">
        <v>22</v>
      </c>
      <c r="P24" s="26"/>
    </row>
    <row r="25" spans="1:16" ht="16.350000000000001" hidden="1" customHeight="1">
      <c r="A25" s="104"/>
      <c r="B25" s="14"/>
      <c r="C25" s="14"/>
      <c r="D25" s="105"/>
      <c r="E25" s="107"/>
      <c r="F25" s="106"/>
      <c r="G25" s="106"/>
      <c r="L25" s="26">
        <v>23</v>
      </c>
      <c r="M25" s="26"/>
      <c r="N25" s="26"/>
      <c r="O25" s="26">
        <v>23</v>
      </c>
      <c r="P25" s="26"/>
    </row>
    <row r="26" spans="1:16" ht="16.350000000000001" hidden="1" customHeight="1">
      <c r="A26" s="104"/>
      <c r="B26" s="14"/>
      <c r="C26" s="14"/>
      <c r="D26" s="105"/>
      <c r="E26" s="107"/>
      <c r="F26" s="106"/>
      <c r="G26" s="106"/>
      <c r="L26" s="26">
        <v>24</v>
      </c>
      <c r="M26" s="26"/>
      <c r="N26" s="26"/>
      <c r="O26" s="26">
        <v>24</v>
      </c>
      <c r="P26" s="26"/>
    </row>
    <row r="27" spans="1:16" ht="16.350000000000001" hidden="1" customHeight="1">
      <c r="A27" s="104"/>
      <c r="B27" s="14"/>
      <c r="C27" s="14"/>
      <c r="D27" s="105"/>
      <c r="E27" s="107"/>
      <c r="F27" s="106"/>
      <c r="G27" s="106"/>
      <c r="L27" s="26">
        <v>25</v>
      </c>
      <c r="M27" s="26"/>
      <c r="N27" s="26"/>
      <c r="O27" s="26">
        <v>25</v>
      </c>
      <c r="P27" s="26"/>
    </row>
    <row r="28" spans="1:16" ht="16.350000000000001" hidden="1" customHeight="1">
      <c r="A28" s="104"/>
      <c r="B28" s="14"/>
      <c r="C28" s="14"/>
      <c r="D28" s="105"/>
      <c r="E28" s="107"/>
      <c r="F28" s="106"/>
      <c r="G28" s="106"/>
      <c r="L28" s="26">
        <v>26</v>
      </c>
      <c r="M28" s="26"/>
      <c r="N28" s="26"/>
      <c r="O28" s="26">
        <v>26</v>
      </c>
      <c r="P28" s="26"/>
    </row>
    <row r="29" spans="1:16" ht="16.350000000000001" hidden="1" customHeight="1">
      <c r="A29" s="104"/>
      <c r="B29" s="14"/>
      <c r="C29" s="14"/>
      <c r="D29" s="105"/>
      <c r="E29" s="107"/>
      <c r="F29" s="106"/>
      <c r="G29" s="106"/>
      <c r="L29" s="26">
        <v>27</v>
      </c>
      <c r="M29" s="26"/>
      <c r="N29" s="26"/>
      <c r="O29" s="26">
        <v>27</v>
      </c>
      <c r="P29" s="26"/>
    </row>
    <row r="30" spans="1:16" ht="16.350000000000001" hidden="1" customHeight="1">
      <c r="A30" s="104"/>
      <c r="B30" s="14"/>
      <c r="C30" s="14"/>
      <c r="D30" s="105"/>
      <c r="E30" s="107"/>
      <c r="F30" s="106"/>
      <c r="G30" s="106"/>
      <c r="L30" s="26">
        <v>28</v>
      </c>
      <c r="M30" s="26"/>
      <c r="N30" s="26"/>
      <c r="O30" s="26">
        <v>28</v>
      </c>
      <c r="P30" s="26"/>
    </row>
    <row r="31" spans="1:16" ht="16.350000000000001" hidden="1" customHeight="1">
      <c r="A31" s="104"/>
      <c r="B31" s="14"/>
      <c r="C31" s="14"/>
      <c r="D31" s="105"/>
      <c r="E31" s="107"/>
      <c r="F31" s="106"/>
      <c r="G31" s="106"/>
      <c r="L31" s="26">
        <v>29</v>
      </c>
      <c r="M31" s="26"/>
      <c r="N31" s="26"/>
      <c r="O31" s="26">
        <v>29</v>
      </c>
      <c r="P31" s="26"/>
    </row>
    <row r="32" spans="1:16" ht="16.350000000000001" hidden="1" customHeight="1">
      <c r="A32" s="104"/>
      <c r="B32" s="14"/>
      <c r="C32" s="14"/>
      <c r="D32" s="105"/>
      <c r="E32" s="107"/>
      <c r="F32" s="106"/>
      <c r="G32" s="106"/>
      <c r="L32" s="26">
        <v>30</v>
      </c>
      <c r="M32" s="26"/>
      <c r="N32" s="26"/>
      <c r="O32" s="26">
        <v>30</v>
      </c>
      <c r="P32" s="26"/>
    </row>
    <row r="33" spans="1:16" ht="16.350000000000001" hidden="1" customHeight="1">
      <c r="A33" s="4"/>
      <c r="B33" s="5"/>
      <c r="C33" s="6"/>
      <c r="F33" s="103"/>
      <c r="L33" s="26">
        <v>0</v>
      </c>
      <c r="M33" s="82"/>
      <c r="N33" s="82"/>
      <c r="O33" s="82">
        <v>0</v>
      </c>
      <c r="P33" s="82"/>
    </row>
    <row r="34" spans="1:16" s="35" customFormat="1" ht="16.350000000000001" customHeight="1">
      <c r="A34" s="114" t="s">
        <v>332</v>
      </c>
      <c r="B34" s="115"/>
      <c r="C34" s="116"/>
      <c r="D34" s="117"/>
      <c r="E34" s="117"/>
      <c r="F34" s="117"/>
      <c r="G34" s="117"/>
      <c r="L34" s="167" t="s">
        <v>9</v>
      </c>
      <c r="M34" s="168"/>
      <c r="N34" s="168"/>
      <c r="O34" s="168"/>
      <c r="P34" s="168"/>
    </row>
    <row r="35" spans="1:16" ht="16.350000000000001" customHeight="1">
      <c r="A35" s="43" t="s">
        <v>0</v>
      </c>
      <c r="B35" s="7" t="s">
        <v>1</v>
      </c>
      <c r="C35" s="8" t="s">
        <v>4</v>
      </c>
      <c r="D35" s="7" t="s">
        <v>2</v>
      </c>
      <c r="E35" s="7" t="s">
        <v>6</v>
      </c>
      <c r="F35" s="7" t="s">
        <v>7</v>
      </c>
      <c r="G35" s="44" t="s">
        <v>8</v>
      </c>
      <c r="K35" s="83" t="s">
        <v>52</v>
      </c>
      <c r="L35" s="83" t="s">
        <v>10</v>
      </c>
      <c r="M35" s="83" t="s">
        <v>11</v>
      </c>
      <c r="N35" s="83" t="s">
        <v>12</v>
      </c>
    </row>
    <row r="36" spans="1:16" ht="16.350000000000001" customHeight="1">
      <c r="A36" s="45">
        <v>1</v>
      </c>
      <c r="B36" s="15"/>
      <c r="C36" s="88" t="s">
        <v>15</v>
      </c>
      <c r="D36" s="9"/>
      <c r="E36" s="9"/>
      <c r="F36" s="118">
        <f>IF(E36="",0,IF(E36&gt;0,RANK(E36,E36:E41,1)))</f>
        <v>0</v>
      </c>
      <c r="G36" s="50">
        <f>VLOOKUP(F36,$O$3:$P$33,2,0)</f>
        <v>0</v>
      </c>
      <c r="K36" s="83" t="s">
        <v>65</v>
      </c>
      <c r="L36" s="84">
        <f t="shared" ref="L36:L58" si="0">SUMIF(C:C,K:K,G:G)</f>
        <v>0</v>
      </c>
      <c r="M36" s="84"/>
      <c r="N36" s="84">
        <f>SUM(L36,M36)</f>
        <v>0</v>
      </c>
      <c r="O36" s="35"/>
      <c r="P36" s="35"/>
    </row>
    <row r="37" spans="1:16" ht="16.350000000000001" customHeight="1">
      <c r="A37" s="45">
        <v>2</v>
      </c>
      <c r="B37" s="15"/>
      <c r="C37" s="83" t="s">
        <v>54</v>
      </c>
      <c r="D37" s="9"/>
      <c r="E37" s="9"/>
      <c r="F37" s="118">
        <f>IF(E37="",0,IF(E37&gt;0,RANK(E37,E36:E41,1)))</f>
        <v>0</v>
      </c>
      <c r="G37" s="50">
        <f t="shared" ref="G37:G41" si="1">VLOOKUP(F37,$O$3:$P$33,2,0)</f>
        <v>0</v>
      </c>
      <c r="K37" s="83" t="s">
        <v>66</v>
      </c>
      <c r="L37" s="84">
        <f t="shared" si="0"/>
        <v>0</v>
      </c>
      <c r="M37" s="84"/>
      <c r="N37" s="84">
        <f t="shared" ref="N37:N58" si="2">SUM(L37,M37)</f>
        <v>0</v>
      </c>
      <c r="O37" s="35"/>
      <c r="P37" s="35"/>
    </row>
    <row r="38" spans="1:16" ht="16.350000000000001" customHeight="1">
      <c r="A38" s="45">
        <v>3</v>
      </c>
      <c r="B38" s="15"/>
      <c r="C38" s="88" t="s">
        <v>55</v>
      </c>
      <c r="D38" s="9"/>
      <c r="E38" s="9"/>
      <c r="F38" s="118">
        <f>IF(E38="",0,IF(E38&gt;0,RANK(E38,E36:E41,1)))</f>
        <v>0</v>
      </c>
      <c r="G38" s="50">
        <f t="shared" si="1"/>
        <v>0</v>
      </c>
      <c r="K38" s="83" t="s">
        <v>67</v>
      </c>
      <c r="L38" s="84">
        <f t="shared" si="0"/>
        <v>0</v>
      </c>
      <c r="M38" s="84"/>
      <c r="N38" s="84">
        <f>SUM(L38,M38)</f>
        <v>0</v>
      </c>
      <c r="O38" s="35"/>
      <c r="P38" s="35"/>
    </row>
    <row r="39" spans="1:16" ht="16.350000000000001" customHeight="1">
      <c r="A39" s="45">
        <v>4</v>
      </c>
      <c r="B39" s="15"/>
      <c r="C39" s="88" t="s">
        <v>57</v>
      </c>
      <c r="D39" s="9"/>
      <c r="E39" s="9"/>
      <c r="F39" s="118">
        <f>IF(E39="",0,IF(E39&gt;0,RANK(E39,E36:E41,1)))</f>
        <v>0</v>
      </c>
      <c r="G39" s="50">
        <f t="shared" si="1"/>
        <v>0</v>
      </c>
      <c r="K39" s="83" t="s">
        <v>68</v>
      </c>
      <c r="L39" s="84">
        <f t="shared" si="0"/>
        <v>0</v>
      </c>
      <c r="M39" s="84"/>
      <c r="N39" s="84">
        <f t="shared" si="2"/>
        <v>0</v>
      </c>
      <c r="O39" s="35"/>
      <c r="P39" s="35"/>
    </row>
    <row r="40" spans="1:16" ht="16.350000000000001" customHeight="1">
      <c r="A40" s="45">
        <v>5</v>
      </c>
      <c r="B40" s="15"/>
      <c r="C40" s="88" t="s">
        <v>59</v>
      </c>
      <c r="D40" s="9"/>
      <c r="E40" s="9"/>
      <c r="F40" s="118">
        <f>IF(E40="",0,IF(E40&gt;0,RANK(E40,E36:E41,1)))</f>
        <v>0</v>
      </c>
      <c r="G40" s="50">
        <f t="shared" si="1"/>
        <v>0</v>
      </c>
      <c r="K40" s="83" t="s">
        <v>54</v>
      </c>
      <c r="L40" s="84">
        <f t="shared" si="0"/>
        <v>0</v>
      </c>
      <c r="M40" s="84"/>
      <c r="N40" s="84">
        <f t="shared" si="2"/>
        <v>0</v>
      </c>
      <c r="O40" s="35"/>
      <c r="P40" s="35"/>
    </row>
    <row r="41" spans="1:16" ht="16.350000000000001" customHeight="1">
      <c r="A41" s="45">
        <v>6</v>
      </c>
      <c r="B41" s="15"/>
      <c r="C41" s="88" t="s">
        <v>61</v>
      </c>
      <c r="D41" s="9"/>
      <c r="E41" s="9"/>
      <c r="F41" s="118">
        <f>IF(E41="",0,IF(E41&gt;0,RANK(E41,E36:E41,1)))</f>
        <v>0</v>
      </c>
      <c r="G41" s="50">
        <f t="shared" si="1"/>
        <v>0</v>
      </c>
      <c r="K41" s="83" t="s">
        <v>69</v>
      </c>
      <c r="L41" s="84">
        <f t="shared" si="0"/>
        <v>0</v>
      </c>
      <c r="M41" s="84"/>
      <c r="N41" s="84">
        <f t="shared" si="2"/>
        <v>0</v>
      </c>
      <c r="O41" s="35"/>
      <c r="P41" s="35"/>
    </row>
    <row r="42" spans="1:16" s="35" customFormat="1" ht="16.350000000000001" customHeight="1">
      <c r="A42" s="47" t="s">
        <v>333</v>
      </c>
      <c r="B42" s="5"/>
      <c r="C42" s="6"/>
      <c r="D42" s="38"/>
      <c r="E42" s="38"/>
      <c r="F42" s="38"/>
      <c r="G42" s="49"/>
      <c r="K42" s="84" t="s">
        <v>70</v>
      </c>
      <c r="L42" s="84">
        <f t="shared" si="0"/>
        <v>0</v>
      </c>
      <c r="M42" s="84"/>
      <c r="N42" s="84">
        <f t="shared" si="2"/>
        <v>0</v>
      </c>
    </row>
    <row r="43" spans="1:16" ht="16.350000000000001" customHeight="1">
      <c r="A43" s="43" t="s">
        <v>0</v>
      </c>
      <c r="B43" s="7" t="s">
        <v>1</v>
      </c>
      <c r="C43" s="8" t="s">
        <v>4</v>
      </c>
      <c r="D43" s="7" t="s">
        <v>2</v>
      </c>
      <c r="E43" s="7" t="s">
        <v>6</v>
      </c>
      <c r="F43" s="7" t="s">
        <v>7</v>
      </c>
      <c r="G43" s="44" t="s">
        <v>8</v>
      </c>
      <c r="K43" s="83" t="s">
        <v>72</v>
      </c>
      <c r="L43" s="84">
        <f t="shared" si="0"/>
        <v>0</v>
      </c>
      <c r="M43" s="83"/>
      <c r="N43" s="84">
        <f t="shared" si="2"/>
        <v>0</v>
      </c>
    </row>
    <row r="44" spans="1:16" ht="16.350000000000001" customHeight="1">
      <c r="A44" s="45">
        <v>1</v>
      </c>
      <c r="B44" s="3"/>
      <c r="C44" s="88"/>
      <c r="D44" s="9"/>
      <c r="E44" s="9"/>
      <c r="F44" s="118">
        <f>IF(E44="",0,IF(E44&gt;0,RANK(E44,E44:E49,1)))</f>
        <v>0</v>
      </c>
      <c r="G44" s="50">
        <f>VLOOKUP(F44,$O$3:$P$33,2,0)</f>
        <v>0</v>
      </c>
      <c r="K44" s="83" t="s">
        <v>14</v>
      </c>
      <c r="L44" s="84">
        <f t="shared" si="0"/>
        <v>0</v>
      </c>
      <c r="M44" s="83"/>
      <c r="N44" s="84">
        <f>SUM(L44,M44)</f>
        <v>0</v>
      </c>
    </row>
    <row r="45" spans="1:16" ht="16.350000000000001" customHeight="1">
      <c r="A45" s="45">
        <v>2</v>
      </c>
      <c r="B45" s="3"/>
      <c r="C45" s="83"/>
      <c r="D45" s="9"/>
      <c r="E45" s="9"/>
      <c r="F45" s="118">
        <f>IF(E45="",0,IF(E45&gt;0,RANK(E45,E44:E49,1)))</f>
        <v>0</v>
      </c>
      <c r="G45" s="50">
        <f t="shared" ref="G45:G49" si="3">VLOOKUP(F45,$O$3:$P$33,2,0)</f>
        <v>0</v>
      </c>
      <c r="K45" s="83" t="s">
        <v>74</v>
      </c>
      <c r="L45" s="84">
        <f t="shared" si="0"/>
        <v>0</v>
      </c>
      <c r="M45" s="83"/>
      <c r="N45" s="84">
        <f t="shared" si="2"/>
        <v>0</v>
      </c>
    </row>
    <row r="46" spans="1:16" ht="16.350000000000001" customHeight="1">
      <c r="A46" s="45">
        <v>3</v>
      </c>
      <c r="B46" s="3"/>
      <c r="C46" s="121" t="s">
        <v>62</v>
      </c>
      <c r="D46" s="9"/>
      <c r="E46" s="9"/>
      <c r="F46" s="118">
        <f>IF(E46="",0,IF(E46&gt;0,RANK(E46,E44:E49,1)))</f>
        <v>0</v>
      </c>
      <c r="G46" s="50">
        <f t="shared" si="3"/>
        <v>0</v>
      </c>
      <c r="K46" s="83" t="s">
        <v>59</v>
      </c>
      <c r="L46" s="84">
        <f t="shared" si="0"/>
        <v>0</v>
      </c>
      <c r="M46" s="83"/>
      <c r="N46" s="84">
        <f t="shared" si="2"/>
        <v>0</v>
      </c>
    </row>
    <row r="47" spans="1:16" ht="16.350000000000001" customHeight="1">
      <c r="A47" s="45">
        <v>4</v>
      </c>
      <c r="B47" s="3"/>
      <c r="C47" s="121" t="s">
        <v>63</v>
      </c>
      <c r="D47" s="9"/>
      <c r="E47" s="9"/>
      <c r="F47" s="118">
        <f>IF(E47="",0,IF(E47&gt;0,RANK(E47,E44:E49,1)))</f>
        <v>0</v>
      </c>
      <c r="G47" s="50">
        <f t="shared" si="3"/>
        <v>0</v>
      </c>
      <c r="K47" s="83" t="s">
        <v>75</v>
      </c>
      <c r="L47" s="84">
        <f t="shared" si="0"/>
        <v>0</v>
      </c>
      <c r="M47" s="83"/>
      <c r="N47" s="84">
        <f t="shared" si="2"/>
        <v>0</v>
      </c>
    </row>
    <row r="48" spans="1:16" ht="16.350000000000001" customHeight="1">
      <c r="A48" s="45">
        <v>5</v>
      </c>
      <c r="B48" s="3"/>
      <c r="C48" s="88"/>
      <c r="D48" s="9"/>
      <c r="E48" s="9"/>
      <c r="F48" s="118">
        <f>IF(E48="",0,IF(E48&gt;0,RANK(E48,E44:E49,1)))</f>
        <v>0</v>
      </c>
      <c r="G48" s="50">
        <f t="shared" si="3"/>
        <v>0</v>
      </c>
      <c r="K48" s="83" t="s">
        <v>76</v>
      </c>
      <c r="L48" s="84">
        <f t="shared" si="0"/>
        <v>0</v>
      </c>
      <c r="M48" s="83"/>
      <c r="N48" s="84">
        <f t="shared" si="2"/>
        <v>0</v>
      </c>
    </row>
    <row r="49" spans="1:14" ht="16.350000000000001" customHeight="1">
      <c r="A49" s="45">
        <v>6</v>
      </c>
      <c r="B49" s="3"/>
      <c r="C49" s="88"/>
      <c r="D49" s="9"/>
      <c r="E49" s="9"/>
      <c r="F49" s="118">
        <f>IF(E49="",0,IF(E49&gt;0,RANK(E49,E44:E49,1)))</f>
        <v>0</v>
      </c>
      <c r="G49" s="50">
        <f t="shared" si="3"/>
        <v>0</v>
      </c>
      <c r="K49" s="83" t="s">
        <v>77</v>
      </c>
      <c r="L49" s="84">
        <f t="shared" si="0"/>
        <v>0</v>
      </c>
      <c r="M49" s="83"/>
      <c r="N49" s="84">
        <f t="shared" si="2"/>
        <v>0</v>
      </c>
    </row>
    <row r="50" spans="1:14" ht="16.350000000000001" customHeight="1">
      <c r="A50" s="47" t="s">
        <v>334</v>
      </c>
      <c r="B50" s="5"/>
      <c r="C50" s="6"/>
      <c r="D50" s="38"/>
      <c r="E50" s="38"/>
      <c r="F50" s="38"/>
      <c r="G50" s="49"/>
      <c r="K50" s="84" t="s">
        <v>79</v>
      </c>
      <c r="L50" s="84">
        <f t="shared" si="0"/>
        <v>0</v>
      </c>
      <c r="M50" s="84"/>
      <c r="N50" s="84">
        <f t="shared" si="2"/>
        <v>0</v>
      </c>
    </row>
    <row r="51" spans="1:14" ht="16.350000000000001" customHeight="1">
      <c r="A51" s="43" t="s">
        <v>0</v>
      </c>
      <c r="B51" s="7" t="s">
        <v>1</v>
      </c>
      <c r="C51" s="8" t="s">
        <v>4</v>
      </c>
      <c r="D51" s="7" t="s">
        <v>2</v>
      </c>
      <c r="E51" s="7" t="s">
        <v>6</v>
      </c>
      <c r="F51" s="7" t="s">
        <v>7</v>
      </c>
      <c r="G51" s="44" t="s">
        <v>8</v>
      </c>
      <c r="K51" s="83" t="s">
        <v>80</v>
      </c>
      <c r="L51" s="84">
        <f t="shared" si="0"/>
        <v>0</v>
      </c>
      <c r="M51" s="83"/>
      <c r="N51" s="84">
        <f t="shared" si="2"/>
        <v>0</v>
      </c>
    </row>
    <row r="52" spans="1:14" ht="16.350000000000001" customHeight="1">
      <c r="A52" s="45">
        <v>1</v>
      </c>
      <c r="B52" s="88"/>
      <c r="C52" s="88" t="s">
        <v>15</v>
      </c>
      <c r="D52" s="9"/>
      <c r="E52" s="9"/>
      <c r="F52" s="118">
        <f>IF(E52="",0,IF(E52&gt;0,RANK(E52,E52:E57,1)))</f>
        <v>0</v>
      </c>
      <c r="G52" s="50">
        <f>VLOOKUP(F52,$O$3:$P$33,2,0)</f>
        <v>0</v>
      </c>
      <c r="K52" s="83" t="s">
        <v>81</v>
      </c>
      <c r="L52" s="84">
        <f t="shared" si="0"/>
        <v>0</v>
      </c>
      <c r="M52" s="83"/>
      <c r="N52" s="84">
        <f t="shared" si="2"/>
        <v>0</v>
      </c>
    </row>
    <row r="53" spans="1:14" ht="16.350000000000001" customHeight="1">
      <c r="A53" s="45">
        <v>2</v>
      </c>
      <c r="B53" s="83"/>
      <c r="C53" s="83" t="s">
        <v>54</v>
      </c>
      <c r="D53" s="119"/>
      <c r="E53" s="9"/>
      <c r="F53" s="118">
        <f>IF(E53="",0,IF(E53&gt;0,RANK(E53,E52:E57,1)))</f>
        <v>0</v>
      </c>
      <c r="G53" s="50">
        <f t="shared" ref="G53:G57" si="4">VLOOKUP(F53,$O$3:$P$33,2,0)</f>
        <v>0</v>
      </c>
      <c r="K53" s="83" t="s">
        <v>83</v>
      </c>
      <c r="L53" s="84">
        <f t="shared" si="0"/>
        <v>0</v>
      </c>
      <c r="M53" s="83"/>
      <c r="N53" s="84">
        <f t="shared" si="2"/>
        <v>0</v>
      </c>
    </row>
    <row r="54" spans="1:14" ht="16.350000000000001" customHeight="1">
      <c r="A54" s="45">
        <v>3</v>
      </c>
      <c r="B54" s="88"/>
      <c r="C54" s="88" t="s">
        <v>55</v>
      </c>
      <c r="D54" s="119"/>
      <c r="E54" s="9"/>
      <c r="F54" s="118">
        <f>IF(E54="",0,IF(E54&gt;0,RANK(E54,E52:E57,1)))</f>
        <v>0</v>
      </c>
      <c r="G54" s="50">
        <f t="shared" si="4"/>
        <v>0</v>
      </c>
      <c r="K54" s="83" t="s">
        <v>85</v>
      </c>
      <c r="L54" s="84">
        <f t="shared" si="0"/>
        <v>0</v>
      </c>
      <c r="M54" s="83"/>
      <c r="N54" s="84">
        <f t="shared" si="2"/>
        <v>0</v>
      </c>
    </row>
    <row r="55" spans="1:14" ht="16.350000000000001" customHeight="1">
      <c r="A55" s="45">
        <v>4</v>
      </c>
      <c r="B55" s="88"/>
      <c r="C55" s="88" t="s">
        <v>57</v>
      </c>
      <c r="D55" s="119"/>
      <c r="E55" s="9"/>
      <c r="F55" s="118">
        <f>IF(E55="",0,IF(E55&gt;0,RANK(E55,E52:E57,1)))</f>
        <v>0</v>
      </c>
      <c r="G55" s="50">
        <f t="shared" si="4"/>
        <v>0</v>
      </c>
      <c r="K55" s="83" t="s">
        <v>86</v>
      </c>
      <c r="L55" s="84">
        <f t="shared" si="0"/>
        <v>0</v>
      </c>
      <c r="M55" s="83"/>
      <c r="N55" s="84">
        <f t="shared" si="2"/>
        <v>0</v>
      </c>
    </row>
    <row r="56" spans="1:14" ht="16.350000000000001" customHeight="1">
      <c r="A56" s="45">
        <v>5</v>
      </c>
      <c r="B56" s="88"/>
      <c r="C56" s="88" t="s">
        <v>59</v>
      </c>
      <c r="D56" s="119"/>
      <c r="E56" s="9"/>
      <c r="F56" s="118">
        <f>IF(E56="",0,IF(E56&gt;0,RANK(E56,E52:E57,1)))</f>
        <v>0</v>
      </c>
      <c r="G56" s="50">
        <f t="shared" si="4"/>
        <v>0</v>
      </c>
      <c r="K56" s="83" t="s">
        <v>87</v>
      </c>
      <c r="L56" s="84">
        <f t="shared" si="0"/>
        <v>0</v>
      </c>
      <c r="M56" s="83"/>
      <c r="N56" s="84">
        <f t="shared" si="2"/>
        <v>0</v>
      </c>
    </row>
    <row r="57" spans="1:14" ht="16.350000000000001" customHeight="1">
      <c r="A57" s="45">
        <v>6</v>
      </c>
      <c r="B57" s="88"/>
      <c r="C57" s="88" t="s">
        <v>61</v>
      </c>
      <c r="D57" s="9"/>
      <c r="E57" s="9"/>
      <c r="F57" s="118">
        <f>IF(E57="",0,IF(E57&gt;0,RANK(E57,E52:E57,1)))</f>
        <v>0</v>
      </c>
      <c r="G57" s="50">
        <f t="shared" si="4"/>
        <v>0</v>
      </c>
      <c r="K57" s="83" t="s">
        <v>89</v>
      </c>
      <c r="L57" s="84">
        <f t="shared" si="0"/>
        <v>0</v>
      </c>
      <c r="M57" s="83"/>
      <c r="N57" s="84">
        <f t="shared" si="2"/>
        <v>0</v>
      </c>
    </row>
    <row r="58" spans="1:14" ht="16.350000000000001" customHeight="1">
      <c r="A58" s="47" t="s">
        <v>335</v>
      </c>
      <c r="B58" s="6"/>
      <c r="C58" s="6"/>
      <c r="D58" s="38"/>
      <c r="E58" s="38"/>
      <c r="F58" s="38"/>
      <c r="G58" s="49"/>
      <c r="K58" s="83" t="s">
        <v>90</v>
      </c>
      <c r="L58" s="84">
        <f t="shared" si="0"/>
        <v>0</v>
      </c>
      <c r="M58" s="83"/>
      <c r="N58" s="84">
        <f t="shared" si="2"/>
        <v>0</v>
      </c>
    </row>
    <row r="59" spans="1:14" ht="16.350000000000001" customHeight="1">
      <c r="A59" s="43" t="s">
        <v>0</v>
      </c>
      <c r="B59" s="7" t="s">
        <v>1</v>
      </c>
      <c r="C59" s="8" t="s">
        <v>4</v>
      </c>
      <c r="D59" s="7" t="s">
        <v>2</v>
      </c>
      <c r="E59" s="7" t="s">
        <v>6</v>
      </c>
      <c r="F59" s="7" t="s">
        <v>7</v>
      </c>
      <c r="G59" s="44" t="s">
        <v>8</v>
      </c>
      <c r="K59" s="109"/>
      <c r="L59" s="19"/>
      <c r="M59" s="109"/>
      <c r="N59" s="19"/>
    </row>
    <row r="60" spans="1:14" ht="16.350000000000001" customHeight="1">
      <c r="A60" s="45">
        <v>1</v>
      </c>
      <c r="B60" s="3"/>
      <c r="C60" s="83"/>
      <c r="D60" s="9"/>
      <c r="E60" s="9"/>
      <c r="F60" s="118">
        <f>IF(E60="",0,IF(E60&gt;0,RANK(E60,E60:E65,1)))</f>
        <v>0</v>
      </c>
      <c r="G60" s="50">
        <f>VLOOKUP(F60,$O$3:$P$33,2,0)</f>
        <v>0</v>
      </c>
      <c r="K60" s="109"/>
      <c r="L60" s="19"/>
      <c r="M60" s="109"/>
      <c r="N60" s="19"/>
    </row>
    <row r="61" spans="1:14" ht="16.350000000000001" customHeight="1">
      <c r="A61" s="45">
        <v>2</v>
      </c>
      <c r="B61" s="3"/>
      <c r="C61" s="122"/>
      <c r="D61" s="9"/>
      <c r="E61" s="9"/>
      <c r="F61" s="118">
        <f>IF(E61="",0,IF(E61&gt;0,RANK(E61,E60:E65,1)))</f>
        <v>0</v>
      </c>
      <c r="G61" s="50">
        <f t="shared" ref="G61:G65" si="5">VLOOKUP(F61,$O$3:$P$33,2,0)</f>
        <v>0</v>
      </c>
      <c r="K61" s="109"/>
      <c r="L61" s="19"/>
      <c r="M61" s="109"/>
      <c r="N61" s="19"/>
    </row>
    <row r="62" spans="1:14" ht="16.350000000000001" customHeight="1">
      <c r="A62" s="45">
        <v>3</v>
      </c>
      <c r="B62" s="24"/>
      <c r="C62" s="121" t="s">
        <v>62</v>
      </c>
      <c r="D62" s="119"/>
      <c r="E62" s="9"/>
      <c r="F62" s="118">
        <f>IF(E62="",0,IF(E62&gt;0,RANK(E62,E60:E65,1)))</f>
        <v>0</v>
      </c>
      <c r="G62" s="50">
        <f t="shared" si="5"/>
        <v>0</v>
      </c>
      <c r="K62" s="109"/>
      <c r="L62" s="19"/>
      <c r="M62" s="109"/>
      <c r="N62" s="19"/>
    </row>
    <row r="63" spans="1:14" ht="16.350000000000001" customHeight="1">
      <c r="A63" s="45">
        <v>4</v>
      </c>
      <c r="B63" s="24"/>
      <c r="C63" s="121" t="s">
        <v>63</v>
      </c>
      <c r="D63" s="119"/>
      <c r="E63" s="9"/>
      <c r="F63" s="118">
        <f>IF(E63="",0,IF(E63&gt;0,RANK(E63,E60:E65,1)))</f>
        <v>0</v>
      </c>
      <c r="G63" s="50">
        <f t="shared" si="5"/>
        <v>0</v>
      </c>
      <c r="K63" s="109"/>
      <c r="L63" s="19"/>
      <c r="M63" s="109"/>
      <c r="N63" s="19"/>
    </row>
    <row r="64" spans="1:14" ht="16.350000000000001" customHeight="1">
      <c r="A64" s="45">
        <v>5</v>
      </c>
      <c r="B64" s="3"/>
      <c r="C64" s="87"/>
      <c r="D64" s="9"/>
      <c r="E64" s="9"/>
      <c r="F64" s="118">
        <f>IF(E64="",0,IF(E64&gt;0,RANK(E64,E60:E65,1)))</f>
        <v>0</v>
      </c>
      <c r="G64" s="50">
        <f t="shared" si="5"/>
        <v>0</v>
      </c>
      <c r="K64" s="109"/>
      <c r="L64" s="19"/>
      <c r="M64" s="109"/>
      <c r="N64" s="19"/>
    </row>
    <row r="65" spans="1:14" ht="16.350000000000001" customHeight="1">
      <c r="A65" s="45">
        <v>6</v>
      </c>
      <c r="B65" s="3"/>
      <c r="C65" s="15"/>
      <c r="D65" s="9"/>
      <c r="E65" s="9"/>
      <c r="F65" s="118">
        <f>IF(E65="",0,IF(E65&gt;0,RANK(E65,E60:E65,1)))</f>
        <v>0</v>
      </c>
      <c r="G65" s="50">
        <f t="shared" si="5"/>
        <v>0</v>
      </c>
      <c r="K65" s="109"/>
      <c r="L65" s="19"/>
      <c r="M65" s="109"/>
      <c r="N65" s="19"/>
    </row>
    <row r="66" spans="1:14" s="35" customFormat="1" ht="16.350000000000001" customHeight="1">
      <c r="A66" s="47" t="s">
        <v>336</v>
      </c>
      <c r="B66" s="5"/>
      <c r="C66" s="6"/>
      <c r="D66" s="38"/>
      <c r="E66" s="38"/>
      <c r="F66" s="38"/>
      <c r="G66" s="49"/>
      <c r="K66" s="19"/>
      <c r="L66" s="19"/>
      <c r="M66" s="19"/>
      <c r="N66" s="19"/>
    </row>
    <row r="67" spans="1:14" ht="16.350000000000001" customHeight="1">
      <c r="A67" s="43" t="s">
        <v>0</v>
      </c>
      <c r="B67" s="7" t="s">
        <v>1</v>
      </c>
      <c r="C67" s="8" t="s">
        <v>4</v>
      </c>
      <c r="D67" s="7" t="s">
        <v>2</v>
      </c>
      <c r="E67" s="7" t="s">
        <v>6</v>
      </c>
      <c r="F67" s="7" t="s">
        <v>7</v>
      </c>
      <c r="G67" s="44" t="s">
        <v>8</v>
      </c>
      <c r="K67" s="109"/>
      <c r="L67" s="19"/>
      <c r="M67" s="109"/>
      <c r="N67" s="19"/>
    </row>
    <row r="68" spans="1:14" ht="16.350000000000001" customHeight="1">
      <c r="A68" s="45">
        <v>1</v>
      </c>
      <c r="B68" s="86" t="s">
        <v>92</v>
      </c>
      <c r="C68" s="86" t="s">
        <v>91</v>
      </c>
      <c r="D68" s="9"/>
      <c r="E68" s="9"/>
      <c r="F68" s="118">
        <f>IF(E68="",0,IF(E68&gt;0,RANK(E68,E68:E73,1)))</f>
        <v>0</v>
      </c>
      <c r="G68" s="50">
        <f>VLOOKUP(F68,$O$3:$P$33,2,0)</f>
        <v>0</v>
      </c>
      <c r="K68" s="109"/>
      <c r="L68" s="19"/>
      <c r="M68" s="19"/>
      <c r="N68" s="19"/>
    </row>
    <row r="69" spans="1:14" ht="16.350000000000001" customHeight="1">
      <c r="A69" s="45">
        <v>2</v>
      </c>
      <c r="B69" s="120" t="s">
        <v>93</v>
      </c>
      <c r="C69" s="125" t="s">
        <v>15</v>
      </c>
      <c r="D69" s="9"/>
      <c r="E69" s="9"/>
      <c r="F69" s="118">
        <f>IF(E69="",0,IF(E69&gt;0,RANK(E69,E68:E73,1)))</f>
        <v>0</v>
      </c>
      <c r="G69" s="50">
        <f t="shared" ref="G69:G73" si="6">VLOOKUP(F69,$O$3:$P$33,2,0)</f>
        <v>0</v>
      </c>
      <c r="K69" s="109"/>
      <c r="L69" s="19"/>
      <c r="M69" s="109"/>
      <c r="N69" s="19"/>
    </row>
    <row r="70" spans="1:14" ht="16.350000000000001" customHeight="1">
      <c r="A70" s="45">
        <v>3</v>
      </c>
      <c r="B70" s="120" t="s">
        <v>94</v>
      </c>
      <c r="C70" s="120" t="s">
        <v>15</v>
      </c>
      <c r="D70" s="9"/>
      <c r="E70" s="9"/>
      <c r="F70" s="118">
        <f>IF(E70="",0,IF(E70&gt;0,RANK(E70,E68:E73,1)))</f>
        <v>0</v>
      </c>
      <c r="G70" s="50">
        <f t="shared" si="6"/>
        <v>0</v>
      </c>
      <c r="K70" s="109"/>
      <c r="L70" s="19"/>
      <c r="M70" s="109"/>
      <c r="N70" s="19"/>
    </row>
    <row r="71" spans="1:14" ht="16.350000000000001" customHeight="1">
      <c r="A71" s="45">
        <v>4</v>
      </c>
      <c r="B71" s="120" t="s">
        <v>95</v>
      </c>
      <c r="C71" s="120" t="s">
        <v>60</v>
      </c>
      <c r="D71" s="9"/>
      <c r="E71" s="9"/>
      <c r="F71" s="118">
        <f>IF(E71="",0,IF(E71&gt;0,RANK(E71,E68:E73,1)))</f>
        <v>0</v>
      </c>
      <c r="G71" s="50">
        <f t="shared" si="6"/>
        <v>0</v>
      </c>
      <c r="K71" s="109"/>
      <c r="L71" s="19"/>
      <c r="M71" s="109"/>
      <c r="N71" s="19"/>
    </row>
    <row r="72" spans="1:14" ht="16.350000000000001" customHeight="1">
      <c r="A72" s="45">
        <v>5</v>
      </c>
      <c r="B72" s="120" t="s">
        <v>96</v>
      </c>
      <c r="C72" s="120" t="s">
        <v>56</v>
      </c>
      <c r="D72" s="9"/>
      <c r="E72" s="9"/>
      <c r="F72" s="118">
        <f>IF(E72="",0,IF(E72&gt;0,RANK(E72,E68:E73,1)))</f>
        <v>0</v>
      </c>
      <c r="G72" s="50">
        <f t="shared" si="6"/>
        <v>0</v>
      </c>
      <c r="K72" s="109"/>
      <c r="L72" s="19"/>
      <c r="M72" s="109"/>
      <c r="N72" s="19"/>
    </row>
    <row r="73" spans="1:14" ht="16.350000000000001" customHeight="1">
      <c r="A73" s="45">
        <v>6</v>
      </c>
      <c r="B73" s="3"/>
      <c r="C73" s="89"/>
      <c r="D73" s="9"/>
      <c r="E73" s="9"/>
      <c r="F73" s="118">
        <f>IF(E73="",0,IF(E73&gt;0,RANK(E73,E68:E73,1)))</f>
        <v>0</v>
      </c>
      <c r="G73" s="50">
        <f t="shared" si="6"/>
        <v>0</v>
      </c>
      <c r="J73" s="35"/>
      <c r="K73" s="109"/>
      <c r="L73" s="19"/>
      <c r="M73" s="109"/>
      <c r="N73" s="19"/>
    </row>
    <row r="74" spans="1:14" ht="16.350000000000001" customHeight="1">
      <c r="A74" s="47" t="s">
        <v>337</v>
      </c>
      <c r="B74" s="18"/>
      <c r="C74" s="18"/>
      <c r="G74" s="48"/>
    </row>
    <row r="75" spans="1:14" ht="16.350000000000001" customHeight="1">
      <c r="A75" s="43" t="s">
        <v>0</v>
      </c>
      <c r="B75" s="7" t="s">
        <v>1</v>
      </c>
      <c r="C75" s="8" t="s">
        <v>4</v>
      </c>
      <c r="D75" s="7" t="s">
        <v>2</v>
      </c>
      <c r="E75" s="7" t="s">
        <v>6</v>
      </c>
      <c r="F75" s="128" t="s">
        <v>7</v>
      </c>
      <c r="G75" s="129" t="s">
        <v>8</v>
      </c>
      <c r="I75" s="110"/>
    </row>
    <row r="76" spans="1:14" ht="16.350000000000001" customHeight="1">
      <c r="A76" s="45">
        <v>1</v>
      </c>
      <c r="B76" s="85"/>
      <c r="C76" s="85"/>
      <c r="D76" s="9"/>
      <c r="E76" s="9"/>
      <c r="F76" s="130">
        <f t="shared" ref="F76:F81" si="7">IF(E76="",0,IF(E76&gt;0,RANK(E76,$E$76:$E$97,1)))</f>
        <v>0</v>
      </c>
      <c r="G76" s="131">
        <f>VLOOKUP(F76,$L$3:$M$33,2,0)</f>
        <v>0</v>
      </c>
      <c r="I76" s="110"/>
    </row>
    <row r="77" spans="1:14" ht="16.350000000000001" customHeight="1">
      <c r="A77" s="45">
        <v>2</v>
      </c>
      <c r="B77" s="126" t="s">
        <v>97</v>
      </c>
      <c r="C77" s="126" t="s">
        <v>98</v>
      </c>
      <c r="D77" s="74"/>
      <c r="E77" s="9"/>
      <c r="F77" s="130">
        <f t="shared" si="7"/>
        <v>0</v>
      </c>
      <c r="G77" s="131">
        <f t="shared" ref="G77:G81" si="8">VLOOKUP(F77,$L$3:$M$33,2,0)</f>
        <v>0</v>
      </c>
      <c r="I77" s="110"/>
    </row>
    <row r="78" spans="1:14" ht="16.350000000000001" customHeight="1">
      <c r="A78" s="45">
        <v>3</v>
      </c>
      <c r="B78" s="120" t="s">
        <v>17</v>
      </c>
      <c r="C78" s="120" t="s">
        <v>15</v>
      </c>
      <c r="D78" s="9"/>
      <c r="E78" s="9"/>
      <c r="F78" s="130">
        <f t="shared" si="7"/>
        <v>0</v>
      </c>
      <c r="G78" s="131">
        <f t="shared" si="8"/>
        <v>0</v>
      </c>
      <c r="I78" s="110"/>
    </row>
    <row r="79" spans="1:14" ht="16.350000000000001" customHeight="1">
      <c r="A79" s="45">
        <v>4</v>
      </c>
      <c r="B79" s="120" t="s">
        <v>99</v>
      </c>
      <c r="C79" s="120" t="s">
        <v>60</v>
      </c>
      <c r="D79" s="74"/>
      <c r="E79" s="9"/>
      <c r="F79" s="130">
        <f t="shared" si="7"/>
        <v>0</v>
      </c>
      <c r="G79" s="131">
        <f t="shared" si="8"/>
        <v>0</v>
      </c>
      <c r="I79" s="110"/>
    </row>
    <row r="80" spans="1:14" ht="16.350000000000001" customHeight="1">
      <c r="A80" s="45">
        <v>5</v>
      </c>
      <c r="B80" s="120" t="s">
        <v>100</v>
      </c>
      <c r="C80" s="120" t="s">
        <v>53</v>
      </c>
      <c r="D80" s="9"/>
      <c r="E80" s="9"/>
      <c r="F80" s="130">
        <f t="shared" si="7"/>
        <v>0</v>
      </c>
      <c r="G80" s="131">
        <f t="shared" si="8"/>
        <v>0</v>
      </c>
      <c r="I80" s="110"/>
    </row>
    <row r="81" spans="1:9" ht="16.350000000000001" customHeight="1">
      <c r="A81" s="45">
        <v>6</v>
      </c>
      <c r="B81" s="85"/>
      <c r="C81" s="85"/>
      <c r="D81" s="9"/>
      <c r="E81" s="9"/>
      <c r="F81" s="130">
        <f t="shared" si="7"/>
        <v>0</v>
      </c>
      <c r="G81" s="131">
        <f t="shared" si="8"/>
        <v>0</v>
      </c>
      <c r="I81" s="110"/>
    </row>
    <row r="82" spans="1:9" ht="16.350000000000001" customHeight="1">
      <c r="A82" s="47" t="s">
        <v>338</v>
      </c>
      <c r="B82" s="18"/>
      <c r="C82" s="18"/>
      <c r="F82" s="130"/>
      <c r="G82" s="132"/>
      <c r="I82" s="110"/>
    </row>
    <row r="83" spans="1:9" ht="16.350000000000001" customHeight="1">
      <c r="A83" s="43" t="s">
        <v>0</v>
      </c>
      <c r="B83" s="7" t="s">
        <v>1</v>
      </c>
      <c r="C83" s="8" t="s">
        <v>4</v>
      </c>
      <c r="D83" s="7" t="s">
        <v>2</v>
      </c>
      <c r="E83" s="7" t="s">
        <v>6</v>
      </c>
      <c r="F83" s="128" t="s">
        <v>7</v>
      </c>
      <c r="G83" s="129" t="s">
        <v>8</v>
      </c>
      <c r="I83" s="110"/>
    </row>
    <row r="84" spans="1:9" ht="16.350000000000001" customHeight="1">
      <c r="A84" s="45">
        <v>1</v>
      </c>
      <c r="B84" s="120" t="s">
        <v>101</v>
      </c>
      <c r="C84" s="120" t="s">
        <v>53</v>
      </c>
      <c r="D84" s="57"/>
      <c r="E84" s="57"/>
      <c r="F84" s="130">
        <f>IF(E84="",0,IF(E84&gt;0,RANK(E84,$E$76:$E$97,1)))</f>
        <v>0</v>
      </c>
      <c r="G84" s="131">
        <f>VLOOKUP(F84,$L$3:$M$33,2,0)</f>
        <v>0</v>
      </c>
      <c r="I84" s="110"/>
    </row>
    <row r="85" spans="1:9" ht="16.350000000000001" customHeight="1">
      <c r="A85" s="45">
        <v>2</v>
      </c>
      <c r="B85" s="120" t="s">
        <v>102</v>
      </c>
      <c r="C85" s="120" t="s">
        <v>53</v>
      </c>
      <c r="D85" s="57"/>
      <c r="E85" s="57"/>
      <c r="F85" s="130">
        <f>IF(E85="",0,IF(E85&gt;0,RANK(E85,$E$76:$E$97,1)))</f>
        <v>0</v>
      </c>
      <c r="G85" s="131">
        <f t="shared" ref="G85:G89" si="9">VLOOKUP(F85,$L$3:$M$33,2,0)</f>
        <v>0</v>
      </c>
      <c r="I85" s="110"/>
    </row>
    <row r="86" spans="1:9" ht="16.350000000000001" customHeight="1">
      <c r="A86" s="45">
        <v>3</v>
      </c>
      <c r="B86" s="120" t="s">
        <v>103</v>
      </c>
      <c r="C86" s="120" t="s">
        <v>73</v>
      </c>
      <c r="D86" s="57"/>
      <c r="E86" s="57"/>
      <c r="F86" s="130">
        <f t="shared" ref="F86:F89" si="10">IF(E86="",0,IF(E86&gt;0,RANK(E86,$E$76:$E$97,1)))</f>
        <v>0</v>
      </c>
      <c r="G86" s="131">
        <f t="shared" si="9"/>
        <v>0</v>
      </c>
      <c r="I86" s="110"/>
    </row>
    <row r="87" spans="1:9" ht="16.350000000000001" customHeight="1">
      <c r="A87" s="45">
        <v>4</v>
      </c>
      <c r="B87" s="127" t="s">
        <v>104</v>
      </c>
      <c r="C87" s="120" t="s">
        <v>73</v>
      </c>
      <c r="D87" s="57"/>
      <c r="E87" s="57"/>
      <c r="F87" s="130">
        <f t="shared" si="10"/>
        <v>0</v>
      </c>
      <c r="G87" s="131">
        <f t="shared" si="9"/>
        <v>0</v>
      </c>
      <c r="I87" s="110"/>
    </row>
    <row r="88" spans="1:9" ht="16.350000000000001" customHeight="1">
      <c r="A88" s="45">
        <v>5</v>
      </c>
      <c r="B88" s="120" t="s">
        <v>16</v>
      </c>
      <c r="C88" s="120" t="s">
        <v>58</v>
      </c>
      <c r="D88" s="57"/>
      <c r="E88" s="57"/>
      <c r="F88" s="130">
        <f t="shared" si="10"/>
        <v>0</v>
      </c>
      <c r="G88" s="131">
        <f t="shared" si="9"/>
        <v>0</v>
      </c>
      <c r="I88" s="110"/>
    </row>
    <row r="89" spans="1:9" ht="16.350000000000001" customHeight="1">
      <c r="A89" s="45">
        <v>6</v>
      </c>
      <c r="B89" s="123"/>
      <c r="C89" s="124"/>
      <c r="D89" s="57"/>
      <c r="E89" s="58"/>
      <c r="F89" s="130">
        <f t="shared" si="10"/>
        <v>0</v>
      </c>
      <c r="G89" s="131">
        <f t="shared" si="9"/>
        <v>0</v>
      </c>
      <c r="I89" s="110"/>
    </row>
    <row r="90" spans="1:9" s="61" customFormat="1" ht="16.350000000000001" customHeight="1">
      <c r="A90" s="62" t="s">
        <v>339</v>
      </c>
      <c r="B90" s="63"/>
      <c r="C90" s="68"/>
      <c r="D90" s="65"/>
      <c r="E90" s="65"/>
      <c r="F90" s="133"/>
      <c r="G90" s="132"/>
    </row>
    <row r="91" spans="1:9" ht="16.350000000000001" customHeight="1">
      <c r="A91" s="43" t="s">
        <v>0</v>
      </c>
      <c r="B91" s="7" t="s">
        <v>1</v>
      </c>
      <c r="C91" s="8" t="s">
        <v>4</v>
      </c>
      <c r="D91" s="7" t="s">
        <v>2</v>
      </c>
      <c r="E91" s="7" t="s">
        <v>6</v>
      </c>
      <c r="F91" s="128" t="s">
        <v>7</v>
      </c>
      <c r="G91" s="129" t="s">
        <v>8</v>
      </c>
      <c r="I91" s="110"/>
    </row>
    <row r="92" spans="1:9" ht="16.350000000000001" customHeight="1">
      <c r="A92" s="45">
        <v>1</v>
      </c>
      <c r="B92" s="85"/>
      <c r="C92" s="85"/>
      <c r="D92" s="9"/>
      <c r="E92" s="9"/>
      <c r="F92" s="130">
        <f>IF(E92="",0,IF(E92&gt;0,RANK(E92,$E$76:$E$97,1)))</f>
        <v>0</v>
      </c>
      <c r="G92" s="131">
        <f>VLOOKUP(F92,$L$3:$M$33,2,0)</f>
        <v>0</v>
      </c>
      <c r="I92" s="110"/>
    </row>
    <row r="93" spans="1:9" ht="16.350000000000001" customHeight="1">
      <c r="A93" s="45">
        <v>2</v>
      </c>
      <c r="B93" s="120" t="s">
        <v>105</v>
      </c>
      <c r="C93" s="120" t="s">
        <v>53</v>
      </c>
      <c r="D93" s="3"/>
      <c r="E93" s="9"/>
      <c r="F93" s="130">
        <f t="shared" ref="F93:F97" si="11">IF(E93="",0,IF(E93&gt;0,RANK(E93,$E$76:$E$97,1)))</f>
        <v>0</v>
      </c>
      <c r="G93" s="131">
        <f t="shared" ref="G93:G97" si="12">VLOOKUP(F93,$L$3:$M$33,2,0)</f>
        <v>0</v>
      </c>
      <c r="I93" s="110"/>
    </row>
    <row r="94" spans="1:9" ht="16.350000000000001" customHeight="1">
      <c r="A94" s="45">
        <v>3</v>
      </c>
      <c r="B94" s="120" t="s">
        <v>106</v>
      </c>
      <c r="C94" s="120" t="s">
        <v>53</v>
      </c>
      <c r="D94" s="75"/>
      <c r="E94" s="9"/>
      <c r="F94" s="130">
        <f t="shared" si="11"/>
        <v>0</v>
      </c>
      <c r="G94" s="131">
        <f t="shared" si="12"/>
        <v>0</v>
      </c>
      <c r="I94" s="110"/>
    </row>
    <row r="95" spans="1:9" ht="16.350000000000001" customHeight="1">
      <c r="A95" s="45">
        <v>4</v>
      </c>
      <c r="B95" s="120" t="s">
        <v>30</v>
      </c>
      <c r="C95" s="120" t="s">
        <v>56</v>
      </c>
      <c r="D95" s="3"/>
      <c r="E95" s="9"/>
      <c r="F95" s="130">
        <f t="shared" si="11"/>
        <v>0</v>
      </c>
      <c r="G95" s="131">
        <f t="shared" si="12"/>
        <v>0</v>
      </c>
      <c r="I95" s="110"/>
    </row>
    <row r="96" spans="1:9" ht="16.350000000000001" customHeight="1">
      <c r="A96" s="45">
        <v>5</v>
      </c>
      <c r="B96" s="120" t="s">
        <v>107</v>
      </c>
      <c r="C96" s="120" t="s">
        <v>13</v>
      </c>
      <c r="D96" s="34"/>
      <c r="E96" s="9"/>
      <c r="F96" s="130">
        <f t="shared" si="11"/>
        <v>0</v>
      </c>
      <c r="G96" s="131">
        <f t="shared" si="12"/>
        <v>0</v>
      </c>
      <c r="I96" s="110"/>
    </row>
    <row r="97" spans="1:9" s="35" customFormat="1" ht="16.350000000000001" customHeight="1">
      <c r="A97" s="45">
        <v>6</v>
      </c>
      <c r="B97" s="85"/>
      <c r="C97" s="85"/>
      <c r="D97" s="34"/>
      <c r="E97" s="9"/>
      <c r="F97" s="130">
        <f t="shared" si="11"/>
        <v>0</v>
      </c>
      <c r="G97" s="131">
        <f t="shared" si="12"/>
        <v>0</v>
      </c>
      <c r="I97" s="110"/>
    </row>
    <row r="98" spans="1:9" s="61" customFormat="1" ht="16.350000000000001" customHeight="1">
      <c r="A98" s="69" t="s">
        <v>340</v>
      </c>
      <c r="B98" s="63"/>
      <c r="C98" s="64"/>
      <c r="D98" s="72"/>
      <c r="E98" s="72"/>
      <c r="F98" s="59"/>
      <c r="G98" s="60"/>
      <c r="I98" s="110"/>
    </row>
    <row r="99" spans="1:9" ht="16.350000000000001" customHeight="1">
      <c r="A99" s="43" t="s">
        <v>0</v>
      </c>
      <c r="B99" s="7" t="s">
        <v>1</v>
      </c>
      <c r="C99" s="8" t="s">
        <v>4</v>
      </c>
      <c r="D99" s="7" t="s">
        <v>2</v>
      </c>
      <c r="E99" s="7" t="s">
        <v>6</v>
      </c>
      <c r="F99" s="128" t="s">
        <v>7</v>
      </c>
      <c r="G99" s="129" t="s">
        <v>8</v>
      </c>
      <c r="I99" s="110"/>
    </row>
    <row r="100" spans="1:9" ht="16.350000000000001" customHeight="1">
      <c r="A100" s="45">
        <v>1</v>
      </c>
      <c r="B100" s="74"/>
      <c r="C100" s="74"/>
      <c r="D100" s="9"/>
      <c r="E100" s="9"/>
      <c r="F100" s="130">
        <f>IF(E100="",0,IF(E100&gt;0,RANK(E100,$E$100:$E$113,1)))</f>
        <v>0</v>
      </c>
      <c r="G100" s="131">
        <f>VLOOKUP(F100,$L$3:$M$33,2,0)</f>
        <v>0</v>
      </c>
      <c r="I100" s="110"/>
    </row>
    <row r="101" spans="1:9" ht="16.350000000000001" customHeight="1">
      <c r="A101" s="45">
        <v>2</v>
      </c>
      <c r="B101" s="120" t="s">
        <v>33</v>
      </c>
      <c r="C101" s="120" t="s">
        <v>53</v>
      </c>
      <c r="D101" s="75"/>
      <c r="E101" s="9"/>
      <c r="F101" s="130">
        <f t="shared" ref="F101:F105" si="13">IF(E101="",0,IF(E101&gt;0,RANK(E101,$E$100:$E$113,1)))</f>
        <v>0</v>
      </c>
      <c r="G101" s="131">
        <f t="shared" ref="G101:G105" si="14">VLOOKUP(F101,$L$3:$M$33,2,0)</f>
        <v>0</v>
      </c>
      <c r="I101" s="110"/>
    </row>
    <row r="102" spans="1:9" ht="16.350000000000001" customHeight="1">
      <c r="A102" s="45">
        <v>3</v>
      </c>
      <c r="B102" s="120" t="s">
        <v>18</v>
      </c>
      <c r="C102" s="120" t="s">
        <v>53</v>
      </c>
      <c r="D102" s="9"/>
      <c r="E102" s="11"/>
      <c r="F102" s="130">
        <f t="shared" si="13"/>
        <v>0</v>
      </c>
      <c r="G102" s="131">
        <f t="shared" si="14"/>
        <v>0</v>
      </c>
      <c r="I102" s="110"/>
    </row>
    <row r="103" spans="1:9" ht="16.350000000000001" customHeight="1">
      <c r="A103" s="45">
        <v>4</v>
      </c>
      <c r="B103" s="127" t="s">
        <v>108</v>
      </c>
      <c r="C103" s="120" t="s">
        <v>73</v>
      </c>
      <c r="D103" s="9"/>
      <c r="E103" s="11"/>
      <c r="F103" s="130">
        <f t="shared" si="13"/>
        <v>0</v>
      </c>
      <c r="G103" s="131">
        <f t="shared" si="14"/>
        <v>0</v>
      </c>
      <c r="I103" s="110"/>
    </row>
    <row r="104" spans="1:9" ht="16.350000000000001" customHeight="1">
      <c r="A104" s="45">
        <v>5</v>
      </c>
      <c r="B104" s="120" t="s">
        <v>19</v>
      </c>
      <c r="C104" s="120" t="s">
        <v>58</v>
      </c>
      <c r="D104" s="9"/>
      <c r="E104" s="11"/>
      <c r="F104" s="130">
        <f t="shared" si="13"/>
        <v>0</v>
      </c>
      <c r="G104" s="131">
        <f t="shared" si="14"/>
        <v>0</v>
      </c>
      <c r="I104" s="110"/>
    </row>
    <row r="105" spans="1:9" ht="16.350000000000001" customHeight="1">
      <c r="A105" s="45">
        <v>6</v>
      </c>
      <c r="B105" s="74"/>
      <c r="C105" s="74"/>
      <c r="D105" s="9"/>
      <c r="E105" s="11"/>
      <c r="F105" s="130">
        <f t="shared" si="13"/>
        <v>0</v>
      </c>
      <c r="G105" s="131">
        <f t="shared" si="14"/>
        <v>0</v>
      </c>
      <c r="I105" s="110"/>
    </row>
    <row r="106" spans="1:9" ht="16.350000000000001" customHeight="1">
      <c r="A106" s="69" t="s">
        <v>341</v>
      </c>
      <c r="B106" s="63"/>
      <c r="C106" s="64"/>
      <c r="D106" s="72"/>
      <c r="E106" s="72"/>
      <c r="F106" s="130"/>
      <c r="G106" s="131"/>
      <c r="I106" s="110"/>
    </row>
    <row r="107" spans="1:9" ht="16.350000000000001" customHeight="1">
      <c r="A107" s="43" t="s">
        <v>0</v>
      </c>
      <c r="B107" s="7" t="s">
        <v>1</v>
      </c>
      <c r="C107" s="8" t="s">
        <v>4</v>
      </c>
      <c r="D107" s="7" t="s">
        <v>2</v>
      </c>
      <c r="E107" s="7" t="s">
        <v>6</v>
      </c>
      <c r="F107" s="128" t="s">
        <v>7</v>
      </c>
      <c r="G107" s="129" t="s">
        <v>8</v>
      </c>
      <c r="I107" s="110"/>
    </row>
    <row r="108" spans="1:9" ht="16.350000000000001" customHeight="1">
      <c r="A108" s="45">
        <v>1</v>
      </c>
      <c r="B108" s="74"/>
      <c r="C108" s="74"/>
      <c r="D108" s="9"/>
      <c r="E108" s="9"/>
      <c r="F108" s="130">
        <f>IF(E108="",0,IF(E108&gt;0,RANK(E108,$E$100:$E$113,1)))</f>
        <v>0</v>
      </c>
      <c r="G108" s="131">
        <f>VLOOKUP(F108,$L$3:$M$33,2,0)</f>
        <v>0</v>
      </c>
      <c r="I108" s="110"/>
    </row>
    <row r="109" spans="1:9" ht="16.350000000000001" customHeight="1">
      <c r="A109" s="45">
        <v>2</v>
      </c>
      <c r="B109" s="120" t="s">
        <v>109</v>
      </c>
      <c r="C109" s="120" t="s">
        <v>53</v>
      </c>
      <c r="D109" s="75"/>
      <c r="E109" s="9"/>
      <c r="F109" s="130">
        <f t="shared" ref="F109:F113" si="15">IF(E109="",0,IF(E109&gt;0,RANK(E109,$E$100:$E$113,1)))</f>
        <v>0</v>
      </c>
      <c r="G109" s="131">
        <f t="shared" ref="G109:G113" si="16">VLOOKUP(F109,$L$3:$M$33,2,0)</f>
        <v>0</v>
      </c>
      <c r="I109" s="110"/>
    </row>
    <row r="110" spans="1:9" ht="16.350000000000001" customHeight="1">
      <c r="A110" s="45">
        <v>3</v>
      </c>
      <c r="B110" s="120" t="s">
        <v>110</v>
      </c>
      <c r="C110" s="120" t="s">
        <v>53</v>
      </c>
      <c r="D110" s="9"/>
      <c r="E110" s="11"/>
      <c r="F110" s="130">
        <f t="shared" si="15"/>
        <v>0</v>
      </c>
      <c r="G110" s="131">
        <f t="shared" si="16"/>
        <v>0</v>
      </c>
      <c r="I110" s="110"/>
    </row>
    <row r="111" spans="1:9" ht="16.350000000000001" customHeight="1">
      <c r="A111" s="45">
        <v>4</v>
      </c>
      <c r="B111" s="120" t="s">
        <v>111</v>
      </c>
      <c r="C111" s="120" t="s">
        <v>53</v>
      </c>
      <c r="D111" s="9"/>
      <c r="E111" s="11"/>
      <c r="F111" s="130">
        <f t="shared" si="15"/>
        <v>0</v>
      </c>
      <c r="G111" s="131">
        <f t="shared" si="16"/>
        <v>0</v>
      </c>
      <c r="I111" s="110"/>
    </row>
    <row r="112" spans="1:9" ht="16.350000000000001" customHeight="1">
      <c r="A112" s="45">
        <v>5</v>
      </c>
      <c r="B112" s="120"/>
      <c r="C112" s="120"/>
      <c r="D112" s="9"/>
      <c r="E112" s="11"/>
      <c r="F112" s="130">
        <f t="shared" si="15"/>
        <v>0</v>
      </c>
      <c r="G112" s="131">
        <f t="shared" si="16"/>
        <v>0</v>
      </c>
      <c r="I112" s="110"/>
    </row>
    <row r="113" spans="1:9" ht="16.350000000000001" customHeight="1">
      <c r="A113" s="45">
        <v>6</v>
      </c>
      <c r="B113" s="74"/>
      <c r="C113" s="74"/>
      <c r="D113" s="9"/>
      <c r="E113" s="11"/>
      <c r="F113" s="130">
        <f t="shared" si="15"/>
        <v>0</v>
      </c>
      <c r="G113" s="131">
        <f t="shared" si="16"/>
        <v>0</v>
      </c>
      <c r="I113" s="110"/>
    </row>
    <row r="114" spans="1:9" ht="16.350000000000001" customHeight="1">
      <c r="A114" s="69" t="s">
        <v>342</v>
      </c>
      <c r="B114" s="5"/>
      <c r="C114" s="6"/>
      <c r="D114" s="14"/>
      <c r="E114" s="14"/>
      <c r="F114" s="14"/>
      <c r="G114" s="50"/>
    </row>
    <row r="115" spans="1:9" ht="16.350000000000001" customHeight="1">
      <c r="A115" s="43" t="s">
        <v>0</v>
      </c>
      <c r="B115" s="7" t="s">
        <v>1</v>
      </c>
      <c r="C115" s="8" t="s">
        <v>4</v>
      </c>
      <c r="D115" s="7" t="s">
        <v>2</v>
      </c>
      <c r="E115" s="7" t="s">
        <v>6</v>
      </c>
      <c r="F115" s="7" t="s">
        <v>7</v>
      </c>
      <c r="G115" s="44" t="s">
        <v>8</v>
      </c>
    </row>
    <row r="116" spans="1:9" ht="16.350000000000001" customHeight="1">
      <c r="A116" s="45">
        <v>1</v>
      </c>
      <c r="B116" s="126" t="s">
        <v>112</v>
      </c>
      <c r="C116" s="126" t="s">
        <v>113</v>
      </c>
      <c r="D116" s="9"/>
      <c r="E116" s="9"/>
      <c r="F116" s="10">
        <f>IF(E116="",0,IF(E116&gt;0,RANK(E116,E116:E121,1)))</f>
        <v>0</v>
      </c>
      <c r="G116" s="46">
        <f>VLOOKUP(F116,$L$3:$M$33,2,0)</f>
        <v>0</v>
      </c>
    </row>
    <row r="117" spans="1:9" ht="16.350000000000001" customHeight="1">
      <c r="A117" s="45">
        <v>2</v>
      </c>
      <c r="B117" s="120" t="s">
        <v>44</v>
      </c>
      <c r="C117" s="120" t="s">
        <v>53</v>
      </c>
      <c r="D117" s="9"/>
      <c r="E117" s="9"/>
      <c r="F117" s="10">
        <f>IF(E117="",0,IF(E117&gt;0,RANK(E117,E116:E121,1)))</f>
        <v>0</v>
      </c>
      <c r="G117" s="46">
        <f t="shared" ref="G117:G121" si="17">VLOOKUP(F117,$L$3:$M$33,2,0)</f>
        <v>0</v>
      </c>
    </row>
    <row r="118" spans="1:9" ht="16.350000000000001" customHeight="1">
      <c r="A118" s="45">
        <v>3</v>
      </c>
      <c r="B118" s="120" t="s">
        <v>114</v>
      </c>
      <c r="C118" s="120" t="s">
        <v>13</v>
      </c>
      <c r="D118" s="9"/>
      <c r="E118" s="11"/>
      <c r="F118" s="10">
        <f>IF(E118="",0,IF(E118&gt;0,RANK(E118,E116:E121,1)))</f>
        <v>0</v>
      </c>
      <c r="G118" s="46">
        <f t="shared" si="17"/>
        <v>0</v>
      </c>
    </row>
    <row r="119" spans="1:9" ht="16.350000000000001" customHeight="1">
      <c r="A119" s="45">
        <v>4</v>
      </c>
      <c r="B119" s="120" t="s">
        <v>115</v>
      </c>
      <c r="C119" s="120" t="s">
        <v>13</v>
      </c>
      <c r="D119" s="9"/>
      <c r="E119" s="9"/>
      <c r="F119" s="10">
        <f>IF(E119="",0,IF(E119&gt;0,RANK(E119,E116:E121,1)))</f>
        <v>0</v>
      </c>
      <c r="G119" s="46">
        <f t="shared" si="17"/>
        <v>0</v>
      </c>
    </row>
    <row r="120" spans="1:9" ht="16.350000000000001" customHeight="1">
      <c r="A120" s="45">
        <v>5</v>
      </c>
      <c r="B120" s="120" t="s">
        <v>24</v>
      </c>
      <c r="C120" s="120" t="s">
        <v>13</v>
      </c>
      <c r="D120" s="9"/>
      <c r="E120" s="11"/>
      <c r="F120" s="10">
        <f>IF(E120="",0,IF(E120&gt;0,RANK(E120,E116:E121,1)))</f>
        <v>0</v>
      </c>
      <c r="G120" s="46">
        <f t="shared" si="17"/>
        <v>0</v>
      </c>
    </row>
    <row r="121" spans="1:9" ht="16.350000000000001" customHeight="1">
      <c r="A121" s="45">
        <v>6</v>
      </c>
      <c r="B121" s="23"/>
      <c r="C121" s="91"/>
      <c r="D121" s="9"/>
      <c r="E121" s="11"/>
      <c r="F121" s="10">
        <f>IF(E121="",0,IF(E121&gt;0,RANK(E121,E116:E121,1)))</f>
        <v>0</v>
      </c>
      <c r="G121" s="46">
        <f t="shared" si="17"/>
        <v>0</v>
      </c>
    </row>
    <row r="122" spans="1:9" s="13" customFormat="1" ht="16.350000000000001" customHeight="1">
      <c r="A122" s="51" t="s">
        <v>116</v>
      </c>
      <c r="B122" s="5"/>
      <c r="C122" s="5"/>
      <c r="D122" s="16"/>
      <c r="E122" s="16"/>
      <c r="F122" s="16"/>
      <c r="G122" s="52"/>
    </row>
    <row r="123" spans="1:9" ht="16.350000000000001" customHeight="1">
      <c r="A123" s="43" t="s">
        <v>0</v>
      </c>
      <c r="B123" s="7" t="s">
        <v>1</v>
      </c>
      <c r="C123" s="8" t="s">
        <v>4</v>
      </c>
      <c r="D123" s="7" t="s">
        <v>2</v>
      </c>
      <c r="E123" s="7" t="s">
        <v>6</v>
      </c>
      <c r="F123" s="128" t="s">
        <v>7</v>
      </c>
      <c r="G123" s="129" t="s">
        <v>8</v>
      </c>
      <c r="I123" s="110"/>
    </row>
    <row r="124" spans="1:9" ht="16.350000000000001" customHeight="1">
      <c r="A124" s="45">
        <v>1</v>
      </c>
      <c r="B124" s="134" t="s">
        <v>117</v>
      </c>
      <c r="C124" s="126" t="s">
        <v>118</v>
      </c>
      <c r="D124" s="9"/>
      <c r="E124" s="9"/>
      <c r="F124" s="130">
        <f>IF(E124="",0,IF(E124&gt;0,RANK(E124,$E$124:$E$145,1)))</f>
        <v>0</v>
      </c>
      <c r="G124" s="131">
        <f>VLOOKUP(F124,$L$3:$M$33,2,0)</f>
        <v>0</v>
      </c>
      <c r="I124" s="110"/>
    </row>
    <row r="125" spans="1:9" ht="16.350000000000001" customHeight="1">
      <c r="A125" s="45">
        <v>2</v>
      </c>
      <c r="B125" s="126" t="s">
        <v>119</v>
      </c>
      <c r="C125" s="126" t="s">
        <v>113</v>
      </c>
      <c r="D125" s="9"/>
      <c r="E125" s="9"/>
      <c r="F125" s="130">
        <f t="shared" ref="F125:F129" si="18">IF(E125="",0,IF(E125&gt;0,RANK(E125,$E$124:$E$145,1)))</f>
        <v>0</v>
      </c>
      <c r="G125" s="131">
        <f t="shared" ref="G125:G129" si="19">VLOOKUP(F125,$L$3:$M$33,2,0)</f>
        <v>0</v>
      </c>
      <c r="I125" s="110"/>
    </row>
    <row r="126" spans="1:9" ht="16.350000000000001" customHeight="1">
      <c r="A126" s="45">
        <v>3</v>
      </c>
      <c r="B126" s="120" t="s">
        <v>120</v>
      </c>
      <c r="C126" s="120" t="s">
        <v>15</v>
      </c>
      <c r="D126" s="9"/>
      <c r="E126" s="9"/>
      <c r="F126" s="130">
        <f t="shared" si="18"/>
        <v>0</v>
      </c>
      <c r="G126" s="131">
        <f t="shared" si="19"/>
        <v>0</v>
      </c>
      <c r="I126" s="110"/>
    </row>
    <row r="127" spans="1:9" ht="16.350000000000001" customHeight="1">
      <c r="A127" s="45">
        <v>4</v>
      </c>
      <c r="B127" s="135" t="s">
        <v>121</v>
      </c>
      <c r="C127" s="120" t="s">
        <v>60</v>
      </c>
      <c r="D127" s="9"/>
      <c r="E127" s="9"/>
      <c r="F127" s="130">
        <f t="shared" si="18"/>
        <v>0</v>
      </c>
      <c r="G127" s="131">
        <f t="shared" si="19"/>
        <v>0</v>
      </c>
      <c r="I127" s="110"/>
    </row>
    <row r="128" spans="1:9" ht="16.350000000000001" customHeight="1">
      <c r="A128" s="45">
        <v>5</v>
      </c>
      <c r="B128" s="127" t="s">
        <v>50</v>
      </c>
      <c r="C128" s="120" t="s">
        <v>60</v>
      </c>
      <c r="D128" s="9"/>
      <c r="E128" s="9"/>
      <c r="F128" s="130">
        <f t="shared" si="18"/>
        <v>0</v>
      </c>
      <c r="G128" s="131">
        <f t="shared" si="19"/>
        <v>0</v>
      </c>
      <c r="I128" s="110"/>
    </row>
    <row r="129" spans="1:9" ht="16.350000000000001" customHeight="1">
      <c r="A129" s="45">
        <v>6</v>
      </c>
      <c r="B129" s="136" t="s">
        <v>122</v>
      </c>
      <c r="C129" s="136" t="s">
        <v>71</v>
      </c>
      <c r="D129" s="9"/>
      <c r="E129" s="9"/>
      <c r="F129" s="130">
        <f t="shared" si="18"/>
        <v>0</v>
      </c>
      <c r="G129" s="131">
        <f t="shared" si="19"/>
        <v>0</v>
      </c>
      <c r="I129" s="110"/>
    </row>
    <row r="130" spans="1:9" ht="16.350000000000001" customHeight="1">
      <c r="A130" s="69" t="s">
        <v>343</v>
      </c>
      <c r="B130" s="5"/>
      <c r="C130" s="4"/>
      <c r="F130" s="130"/>
      <c r="G130" s="132"/>
      <c r="I130" s="110"/>
    </row>
    <row r="131" spans="1:9" ht="15.75" customHeight="1">
      <c r="A131" s="43" t="s">
        <v>0</v>
      </c>
      <c r="B131" s="7" t="s">
        <v>1</v>
      </c>
      <c r="C131" s="8" t="s">
        <v>4</v>
      </c>
      <c r="D131" s="7" t="s">
        <v>2</v>
      </c>
      <c r="E131" s="7" t="s">
        <v>6</v>
      </c>
      <c r="F131" s="128" t="s">
        <v>7</v>
      </c>
      <c r="G131" s="129" t="s">
        <v>8</v>
      </c>
      <c r="I131" s="110"/>
    </row>
    <row r="132" spans="1:9" ht="16.350000000000001" customHeight="1">
      <c r="A132" s="45">
        <v>1</v>
      </c>
      <c r="B132" s="127" t="s">
        <v>123</v>
      </c>
      <c r="C132" s="120" t="s">
        <v>73</v>
      </c>
      <c r="D132" s="9"/>
      <c r="E132" s="9"/>
      <c r="F132" s="130">
        <f>IF(E132="",0,IF(E132&gt;0,RANK(E132,$E$124:$E$145,1)))</f>
        <v>0</v>
      </c>
      <c r="G132" s="131">
        <f>VLOOKUP(F132,$L$3:$M$33,2,0)</f>
        <v>0</v>
      </c>
      <c r="I132" s="110"/>
    </row>
    <row r="133" spans="1:9" ht="16.350000000000001" customHeight="1">
      <c r="A133" s="45">
        <v>2</v>
      </c>
      <c r="B133" s="120" t="s">
        <v>124</v>
      </c>
      <c r="C133" s="120" t="s">
        <v>73</v>
      </c>
      <c r="D133" s="85"/>
      <c r="E133" s="9"/>
      <c r="F133" s="130">
        <f t="shared" ref="F133:F137" si="20">IF(E133="",0,IF(E133&gt;0,RANK(E133,$E$124:$E$145,1)))</f>
        <v>0</v>
      </c>
      <c r="G133" s="131">
        <f t="shared" ref="G133:G137" si="21">VLOOKUP(F133,$L$3:$M$33,2,0)</f>
        <v>0</v>
      </c>
      <c r="I133" s="110"/>
    </row>
    <row r="134" spans="1:9" ht="16.350000000000001" customHeight="1">
      <c r="A134" s="45">
        <v>3</v>
      </c>
      <c r="B134" s="120" t="s">
        <v>125</v>
      </c>
      <c r="C134" s="120" t="s">
        <v>78</v>
      </c>
      <c r="D134" s="85"/>
      <c r="E134" s="9"/>
      <c r="F134" s="130">
        <f t="shared" si="20"/>
        <v>0</v>
      </c>
      <c r="G134" s="131">
        <f t="shared" si="21"/>
        <v>0</v>
      </c>
      <c r="I134" s="110"/>
    </row>
    <row r="135" spans="1:9" ht="16.350000000000001" customHeight="1">
      <c r="A135" s="45">
        <v>4</v>
      </c>
      <c r="B135" s="127" t="s">
        <v>126</v>
      </c>
      <c r="C135" s="120" t="s">
        <v>78</v>
      </c>
      <c r="D135" s="85"/>
      <c r="E135" s="9"/>
      <c r="F135" s="130">
        <f t="shared" si="20"/>
        <v>0</v>
      </c>
      <c r="G135" s="131">
        <f t="shared" si="21"/>
        <v>0</v>
      </c>
      <c r="I135" s="110"/>
    </row>
    <row r="136" spans="1:9" ht="16.350000000000001" customHeight="1">
      <c r="A136" s="45">
        <v>5</v>
      </c>
      <c r="B136" s="120" t="s">
        <v>127</v>
      </c>
      <c r="C136" s="120" t="s">
        <v>78</v>
      </c>
      <c r="D136" s="85"/>
      <c r="E136" s="9"/>
      <c r="F136" s="130">
        <f t="shared" si="20"/>
        <v>0</v>
      </c>
      <c r="G136" s="131">
        <f t="shared" si="21"/>
        <v>0</v>
      </c>
      <c r="I136" s="110"/>
    </row>
    <row r="137" spans="1:9" ht="16.350000000000001" customHeight="1">
      <c r="A137" s="45">
        <v>6</v>
      </c>
      <c r="B137" s="136"/>
      <c r="C137" s="136"/>
      <c r="D137" s="9"/>
      <c r="E137" s="9"/>
      <c r="F137" s="130">
        <f t="shared" si="20"/>
        <v>0</v>
      </c>
      <c r="G137" s="131">
        <f t="shared" si="21"/>
        <v>0</v>
      </c>
      <c r="I137" s="110"/>
    </row>
    <row r="138" spans="1:9" ht="16.350000000000001" customHeight="1">
      <c r="A138" s="69" t="s">
        <v>344</v>
      </c>
      <c r="B138" s="5"/>
      <c r="C138" s="4"/>
      <c r="F138" s="130"/>
      <c r="G138" s="132"/>
      <c r="I138" s="110"/>
    </row>
    <row r="139" spans="1:9" ht="16.350000000000001" customHeight="1">
      <c r="A139" s="43" t="s">
        <v>0</v>
      </c>
      <c r="B139" s="7" t="s">
        <v>1</v>
      </c>
      <c r="C139" s="8" t="s">
        <v>4</v>
      </c>
      <c r="D139" s="7" t="s">
        <v>2</v>
      </c>
      <c r="E139" s="7" t="s">
        <v>6</v>
      </c>
      <c r="F139" s="128" t="s">
        <v>7</v>
      </c>
      <c r="G139" s="129" t="s">
        <v>8</v>
      </c>
      <c r="I139" s="110"/>
    </row>
    <row r="140" spans="1:9" ht="16.350000000000001" customHeight="1">
      <c r="A140" s="45">
        <v>1</v>
      </c>
      <c r="B140" s="136" t="s">
        <v>128</v>
      </c>
      <c r="C140" s="136" t="s">
        <v>71</v>
      </c>
      <c r="D140" s="9"/>
      <c r="E140" s="9"/>
      <c r="F140" s="130">
        <f>IF(E140="",0,IF(E140&gt;0,RANK(E140,$E$124:$E$145,1)))</f>
        <v>0</v>
      </c>
      <c r="G140" s="131">
        <f>VLOOKUP(F140,$L$3:$M$33,2,0)</f>
        <v>0</v>
      </c>
      <c r="I140" s="110"/>
    </row>
    <row r="141" spans="1:9" ht="16.350000000000001" customHeight="1">
      <c r="A141" s="45">
        <v>2</v>
      </c>
      <c r="B141" s="120" t="s">
        <v>129</v>
      </c>
      <c r="C141" s="120" t="s">
        <v>73</v>
      </c>
      <c r="D141" s="85"/>
      <c r="E141" s="9"/>
      <c r="F141" s="130">
        <f t="shared" ref="F141:F145" si="22">IF(E141="",0,IF(E141&gt;0,RANK(E141,$E$124:$E$145,1)))</f>
        <v>0</v>
      </c>
      <c r="G141" s="131">
        <f t="shared" ref="G141:G145" si="23">VLOOKUP(F141,$L$3:$M$33,2,0)</f>
        <v>0</v>
      </c>
      <c r="I141" s="110"/>
    </row>
    <row r="142" spans="1:9" ht="16.350000000000001" customHeight="1">
      <c r="A142" s="45">
        <v>3</v>
      </c>
      <c r="B142" s="120" t="s">
        <v>130</v>
      </c>
      <c r="C142" s="120" t="s">
        <v>78</v>
      </c>
      <c r="D142" s="85"/>
      <c r="E142" s="9"/>
      <c r="F142" s="130">
        <f t="shared" si="22"/>
        <v>0</v>
      </c>
      <c r="G142" s="131">
        <f t="shared" si="23"/>
        <v>0</v>
      </c>
      <c r="I142" s="110"/>
    </row>
    <row r="143" spans="1:9" ht="16.350000000000001" customHeight="1">
      <c r="A143" s="45">
        <v>4</v>
      </c>
      <c r="B143" s="127" t="s">
        <v>131</v>
      </c>
      <c r="C143" s="120" t="s">
        <v>78</v>
      </c>
      <c r="D143" s="85"/>
      <c r="E143" s="9"/>
      <c r="F143" s="130">
        <f t="shared" si="22"/>
        <v>0</v>
      </c>
      <c r="G143" s="131">
        <f t="shared" si="23"/>
        <v>0</v>
      </c>
      <c r="I143" s="110"/>
    </row>
    <row r="144" spans="1:9" ht="16.350000000000001" customHeight="1">
      <c r="A144" s="45">
        <v>5</v>
      </c>
      <c r="B144" s="120" t="s">
        <v>125</v>
      </c>
      <c r="C144" s="120" t="s">
        <v>132</v>
      </c>
      <c r="D144" s="85"/>
      <c r="E144" s="9"/>
      <c r="F144" s="130">
        <f t="shared" si="22"/>
        <v>0</v>
      </c>
      <c r="G144" s="131">
        <f t="shared" si="23"/>
        <v>0</v>
      </c>
      <c r="I144" s="110"/>
    </row>
    <row r="145" spans="1:11" ht="16.350000000000001" customHeight="1">
      <c r="A145" s="45">
        <v>6</v>
      </c>
      <c r="B145" s="136"/>
      <c r="C145" s="136"/>
      <c r="D145" s="9"/>
      <c r="E145" s="9"/>
      <c r="F145" s="130">
        <f t="shared" si="22"/>
        <v>0</v>
      </c>
      <c r="G145" s="131">
        <f t="shared" si="23"/>
        <v>0</v>
      </c>
      <c r="I145" s="110"/>
    </row>
    <row r="146" spans="1:11" ht="16.350000000000001" customHeight="1">
      <c r="A146" s="47" t="s">
        <v>133</v>
      </c>
      <c r="B146" s="5"/>
      <c r="C146" s="4"/>
      <c r="G146" s="48"/>
    </row>
    <row r="147" spans="1:11" ht="16.350000000000001" customHeight="1">
      <c r="A147" s="43" t="s">
        <v>0</v>
      </c>
      <c r="B147" s="7" t="s">
        <v>1</v>
      </c>
      <c r="C147" s="8" t="s">
        <v>4</v>
      </c>
      <c r="D147" s="7" t="s">
        <v>2</v>
      </c>
      <c r="E147" s="7" t="s">
        <v>6</v>
      </c>
      <c r="F147" s="128" t="s">
        <v>7</v>
      </c>
      <c r="G147" s="129" t="s">
        <v>8</v>
      </c>
      <c r="I147" s="110"/>
    </row>
    <row r="148" spans="1:11" ht="16.350000000000001" customHeight="1">
      <c r="A148" s="45">
        <v>1</v>
      </c>
      <c r="B148" s="120" t="s">
        <v>21</v>
      </c>
      <c r="C148" s="120" t="s">
        <v>15</v>
      </c>
      <c r="D148" s="9"/>
      <c r="E148" s="9"/>
      <c r="F148" s="130">
        <f>IF(E148="",0,IF(E148&gt;0,RANK(E148,$E$148:$E$169,1)))</f>
        <v>0</v>
      </c>
      <c r="G148" s="131">
        <f>VLOOKUP(F148,$L$3:$M$33,2,0)</f>
        <v>0</v>
      </c>
      <c r="I148" s="110"/>
    </row>
    <row r="149" spans="1:11" ht="16.350000000000001" customHeight="1">
      <c r="A149" s="45">
        <v>2</v>
      </c>
      <c r="B149" s="120" t="s">
        <v>134</v>
      </c>
      <c r="C149" s="120" t="s">
        <v>15</v>
      </c>
      <c r="D149" s="9"/>
      <c r="E149" s="9"/>
      <c r="F149" s="130">
        <f t="shared" ref="F149:F153" si="24">IF(E149="",0,IF(E149&gt;0,RANK(E149,$E$148:$E$169,1)))</f>
        <v>0</v>
      </c>
      <c r="G149" s="131">
        <f t="shared" ref="G149:G153" si="25">VLOOKUP(F149,$L$3:$M$33,2,0)</f>
        <v>0</v>
      </c>
      <c r="H149" s="31">
        <v>770315</v>
      </c>
      <c r="I149" s="111"/>
      <c r="J149" s="101"/>
      <c r="K149" s="101"/>
    </row>
    <row r="150" spans="1:11" ht="16.350000000000001" customHeight="1">
      <c r="A150" s="45">
        <v>3</v>
      </c>
      <c r="B150" s="127" t="s">
        <v>135</v>
      </c>
      <c r="C150" s="120" t="s">
        <v>60</v>
      </c>
      <c r="D150" s="9"/>
      <c r="E150" s="9"/>
      <c r="F150" s="130">
        <f t="shared" si="24"/>
        <v>0</v>
      </c>
      <c r="G150" s="131">
        <f t="shared" si="25"/>
        <v>0</v>
      </c>
      <c r="H150" s="31">
        <v>780813</v>
      </c>
      <c r="I150" s="111"/>
      <c r="J150" s="101"/>
      <c r="K150" s="101"/>
    </row>
    <row r="151" spans="1:11" ht="16.350000000000001" customHeight="1">
      <c r="A151" s="45">
        <v>4</v>
      </c>
      <c r="B151" s="120" t="s">
        <v>136</v>
      </c>
      <c r="C151" s="120" t="s">
        <v>53</v>
      </c>
      <c r="D151" s="9"/>
      <c r="E151" s="9"/>
      <c r="F151" s="130">
        <f t="shared" si="24"/>
        <v>0</v>
      </c>
      <c r="G151" s="131">
        <f t="shared" si="25"/>
        <v>0</v>
      </c>
      <c r="H151" s="31">
        <v>800328</v>
      </c>
      <c r="I151" s="111"/>
      <c r="J151" s="101"/>
      <c r="K151" s="101"/>
    </row>
    <row r="152" spans="1:11" ht="16.350000000000001" customHeight="1">
      <c r="A152" s="45">
        <v>5</v>
      </c>
      <c r="B152" s="120" t="s">
        <v>137</v>
      </c>
      <c r="C152" s="120" t="s">
        <v>53</v>
      </c>
      <c r="D152" s="9"/>
      <c r="E152" s="9"/>
      <c r="F152" s="130">
        <f t="shared" si="24"/>
        <v>0</v>
      </c>
      <c r="G152" s="131">
        <f t="shared" si="25"/>
        <v>0</v>
      </c>
      <c r="H152" s="31">
        <v>760327</v>
      </c>
      <c r="I152" s="111"/>
      <c r="J152" s="101"/>
      <c r="K152" s="101"/>
    </row>
    <row r="153" spans="1:11" ht="16.350000000000001" customHeight="1">
      <c r="A153" s="45">
        <v>6</v>
      </c>
      <c r="B153" s="23"/>
      <c r="C153" s="78"/>
      <c r="D153" s="9"/>
      <c r="E153" s="9"/>
      <c r="F153" s="130">
        <f t="shared" si="24"/>
        <v>0</v>
      </c>
      <c r="G153" s="131">
        <f t="shared" si="25"/>
        <v>0</v>
      </c>
      <c r="I153" s="110"/>
    </row>
    <row r="154" spans="1:11" ht="16.350000000000001" customHeight="1">
      <c r="A154" s="47" t="s">
        <v>138</v>
      </c>
      <c r="B154" s="5"/>
      <c r="C154" s="19"/>
      <c r="F154" s="130"/>
      <c r="G154" s="132"/>
      <c r="I154" s="110"/>
    </row>
    <row r="155" spans="1:11" ht="16.350000000000001" customHeight="1">
      <c r="A155" s="43" t="s">
        <v>0</v>
      </c>
      <c r="B155" s="7" t="s">
        <v>1</v>
      </c>
      <c r="C155" s="8" t="s">
        <v>4</v>
      </c>
      <c r="D155" s="7" t="s">
        <v>2</v>
      </c>
      <c r="E155" s="7" t="s">
        <v>6</v>
      </c>
      <c r="F155" s="128" t="s">
        <v>7</v>
      </c>
      <c r="G155" s="129" t="s">
        <v>8</v>
      </c>
      <c r="I155" s="110"/>
    </row>
    <row r="156" spans="1:11" ht="16.350000000000001" customHeight="1">
      <c r="A156" s="45">
        <v>1</v>
      </c>
      <c r="B156" s="23"/>
      <c r="C156" s="79"/>
      <c r="D156" s="9"/>
      <c r="E156" s="9"/>
      <c r="F156" s="130">
        <f>IF(E156="",0,IF(E156&gt;0,RANK(E156,$E$148:$E$169,1)))</f>
        <v>0</v>
      </c>
      <c r="G156" s="131">
        <f>VLOOKUP(F156,$L$3:$M$33,2,0)</f>
        <v>0</v>
      </c>
      <c r="I156" s="110"/>
    </row>
    <row r="157" spans="1:11" ht="16.350000000000001" customHeight="1">
      <c r="A157" s="45">
        <v>2</v>
      </c>
      <c r="B157" s="120" t="s">
        <v>139</v>
      </c>
      <c r="C157" s="120" t="s">
        <v>53</v>
      </c>
      <c r="D157" s="9"/>
      <c r="E157" s="9"/>
      <c r="F157" s="130">
        <f t="shared" ref="F157:F161" si="26">IF(E157="",0,IF(E157&gt;0,RANK(E157,$E$148:$E$169,1)))</f>
        <v>0</v>
      </c>
      <c r="G157" s="131">
        <f t="shared" ref="G157:G161" si="27">VLOOKUP(F157,$L$3:$M$33,2,0)</f>
        <v>0</v>
      </c>
      <c r="H157" s="31">
        <v>791016</v>
      </c>
      <c r="I157" s="111"/>
      <c r="J157" s="101"/>
      <c r="K157" s="101"/>
    </row>
    <row r="158" spans="1:11" ht="16.350000000000001" customHeight="1">
      <c r="A158" s="45">
        <v>3</v>
      </c>
      <c r="B158" s="120" t="s">
        <v>140</v>
      </c>
      <c r="C158" s="120" t="s">
        <v>14</v>
      </c>
      <c r="D158" s="9"/>
      <c r="E158" s="9"/>
      <c r="F158" s="130">
        <f t="shared" si="26"/>
        <v>0</v>
      </c>
      <c r="G158" s="131">
        <f t="shared" si="27"/>
        <v>0</v>
      </c>
      <c r="H158" s="31">
        <v>780428</v>
      </c>
      <c r="I158" s="111"/>
      <c r="J158" s="101"/>
      <c r="K158" s="101"/>
    </row>
    <row r="159" spans="1:11" ht="16.350000000000001" customHeight="1">
      <c r="A159" s="45">
        <v>4</v>
      </c>
      <c r="B159" s="136" t="s">
        <v>141</v>
      </c>
      <c r="C159" s="136" t="s">
        <v>71</v>
      </c>
      <c r="D159" s="9"/>
      <c r="E159" s="9"/>
      <c r="F159" s="130">
        <f t="shared" si="26"/>
        <v>0</v>
      </c>
      <c r="G159" s="131">
        <f t="shared" si="27"/>
        <v>0</v>
      </c>
      <c r="H159" s="31">
        <v>770102</v>
      </c>
      <c r="I159" s="111"/>
      <c r="J159" s="101"/>
      <c r="K159" s="101"/>
    </row>
    <row r="160" spans="1:11" ht="16.350000000000001" customHeight="1">
      <c r="A160" s="45">
        <v>5</v>
      </c>
      <c r="B160" s="120" t="s">
        <v>142</v>
      </c>
      <c r="C160" s="120" t="s">
        <v>73</v>
      </c>
      <c r="D160" s="9"/>
      <c r="E160" s="9"/>
      <c r="F160" s="130">
        <f t="shared" si="26"/>
        <v>0</v>
      </c>
      <c r="G160" s="131">
        <f t="shared" si="27"/>
        <v>0</v>
      </c>
      <c r="H160" s="31">
        <v>820227</v>
      </c>
      <c r="I160" s="111"/>
      <c r="J160" s="101"/>
      <c r="K160" s="101"/>
    </row>
    <row r="161" spans="1:11" ht="16.350000000000001" customHeight="1">
      <c r="A161" s="45">
        <v>6</v>
      </c>
      <c r="B161" s="74"/>
      <c r="C161" s="74"/>
      <c r="D161" s="9"/>
      <c r="E161" s="9"/>
      <c r="F161" s="130">
        <f t="shared" si="26"/>
        <v>0</v>
      </c>
      <c r="G161" s="131">
        <f t="shared" si="27"/>
        <v>0</v>
      </c>
      <c r="I161" s="110"/>
    </row>
    <row r="162" spans="1:11" ht="16.350000000000001" customHeight="1">
      <c r="A162" s="47" t="s">
        <v>143</v>
      </c>
      <c r="B162" s="5"/>
      <c r="C162" s="19"/>
      <c r="F162" s="130"/>
      <c r="G162" s="132"/>
      <c r="I162" s="110"/>
    </row>
    <row r="163" spans="1:11" ht="16.350000000000001" customHeight="1">
      <c r="A163" s="43" t="s">
        <v>0</v>
      </c>
      <c r="B163" s="7" t="s">
        <v>1</v>
      </c>
      <c r="C163" s="8" t="s">
        <v>4</v>
      </c>
      <c r="D163" s="7" t="s">
        <v>2</v>
      </c>
      <c r="E163" s="7" t="s">
        <v>6</v>
      </c>
      <c r="F163" s="128" t="s">
        <v>7</v>
      </c>
      <c r="G163" s="129" t="s">
        <v>8</v>
      </c>
      <c r="I163" s="110"/>
    </row>
    <row r="164" spans="1:11" ht="16.350000000000001" customHeight="1">
      <c r="A164" s="45">
        <v>1</v>
      </c>
      <c r="B164" s="23"/>
      <c r="C164" s="79"/>
      <c r="D164" s="9"/>
      <c r="E164" s="9"/>
      <c r="F164" s="130">
        <f>IF(E164="",0,IF(E164&gt;0,RANK(E164,$E$148:$E$169,1)))</f>
        <v>0</v>
      </c>
      <c r="G164" s="131">
        <f>VLOOKUP(F164,$L$3:$M$33,2,0)</f>
        <v>0</v>
      </c>
      <c r="I164" s="110"/>
    </row>
    <row r="165" spans="1:11" ht="16.350000000000001" customHeight="1">
      <c r="A165" s="45">
        <v>2</v>
      </c>
      <c r="B165" s="120" t="s">
        <v>144</v>
      </c>
      <c r="C165" s="120" t="s">
        <v>53</v>
      </c>
      <c r="D165" s="9"/>
      <c r="E165" s="9"/>
      <c r="F165" s="130">
        <f t="shared" ref="F165:F169" si="28">IF(E165="",0,IF(E165&gt;0,RANK(E165,$E$148:$E$169,1)))</f>
        <v>0</v>
      </c>
      <c r="G165" s="131">
        <f t="shared" ref="G165:G169" si="29">VLOOKUP(F165,$L$3:$M$33,2,0)</f>
        <v>0</v>
      </c>
      <c r="I165" s="110"/>
    </row>
    <row r="166" spans="1:11" ht="16.350000000000001" customHeight="1">
      <c r="A166" s="45">
        <v>3</v>
      </c>
      <c r="B166" s="120" t="s">
        <v>48</v>
      </c>
      <c r="C166" s="120" t="s">
        <v>53</v>
      </c>
      <c r="D166" s="9"/>
      <c r="E166" s="9"/>
      <c r="F166" s="130">
        <f t="shared" si="28"/>
        <v>0</v>
      </c>
      <c r="G166" s="131">
        <f t="shared" si="29"/>
        <v>0</v>
      </c>
      <c r="I166" s="110"/>
    </row>
    <row r="167" spans="1:11" ht="16.350000000000001" customHeight="1">
      <c r="A167" s="45">
        <v>4</v>
      </c>
      <c r="B167" s="127" t="s">
        <v>145</v>
      </c>
      <c r="C167" s="120" t="s">
        <v>73</v>
      </c>
      <c r="D167" s="9"/>
      <c r="E167" s="9"/>
      <c r="F167" s="130">
        <f t="shared" si="28"/>
        <v>0</v>
      </c>
      <c r="G167" s="131">
        <f t="shared" si="29"/>
        <v>0</v>
      </c>
      <c r="I167" s="110"/>
    </row>
    <row r="168" spans="1:11" ht="16.350000000000001" customHeight="1">
      <c r="A168" s="45">
        <v>5</v>
      </c>
      <c r="B168" s="120" t="s">
        <v>146</v>
      </c>
      <c r="C168" s="120" t="s">
        <v>82</v>
      </c>
      <c r="D168" s="9"/>
      <c r="E168" s="9"/>
      <c r="F168" s="130">
        <f t="shared" si="28"/>
        <v>0</v>
      </c>
      <c r="G168" s="131">
        <f t="shared" si="29"/>
        <v>0</v>
      </c>
      <c r="I168" s="110"/>
    </row>
    <row r="169" spans="1:11" ht="16.350000000000001" customHeight="1">
      <c r="A169" s="45">
        <v>6</v>
      </c>
      <c r="B169" s="74"/>
      <c r="C169" s="74"/>
      <c r="D169" s="9"/>
      <c r="E169" s="9"/>
      <c r="F169" s="130">
        <f t="shared" si="28"/>
        <v>0</v>
      </c>
      <c r="G169" s="131">
        <f t="shared" si="29"/>
        <v>0</v>
      </c>
      <c r="I169" s="110"/>
    </row>
    <row r="170" spans="1:11" ht="16.350000000000001" customHeight="1">
      <c r="A170" s="47" t="s">
        <v>147</v>
      </c>
      <c r="B170" s="14"/>
      <c r="C170" s="4"/>
      <c r="D170" s="14"/>
      <c r="E170" s="14"/>
      <c r="F170" s="14"/>
      <c r="G170" s="53"/>
    </row>
    <row r="171" spans="1:11" ht="16.350000000000001" customHeight="1">
      <c r="A171" s="43" t="s">
        <v>0</v>
      </c>
      <c r="B171" s="7" t="s">
        <v>1</v>
      </c>
      <c r="C171" s="8" t="s">
        <v>4</v>
      </c>
      <c r="D171" s="7" t="s">
        <v>2</v>
      </c>
      <c r="E171" s="7" t="s">
        <v>6</v>
      </c>
      <c r="F171" s="128" t="s">
        <v>7</v>
      </c>
      <c r="G171" s="129" t="s">
        <v>8</v>
      </c>
      <c r="I171" s="110"/>
    </row>
    <row r="172" spans="1:11" ht="16.350000000000001" customHeight="1">
      <c r="A172" s="45">
        <v>1</v>
      </c>
      <c r="B172" s="120" t="s">
        <v>38</v>
      </c>
      <c r="C172" s="120" t="s">
        <v>58</v>
      </c>
      <c r="D172" s="9"/>
      <c r="E172" s="9"/>
      <c r="F172" s="130">
        <f>IF(E172="",0,IF(E172&gt;0,RANK(E172,$E$172:$E$185,1)))</f>
        <v>0</v>
      </c>
      <c r="G172" s="131">
        <f>VLOOKUP(F172,$L$3:$M$33,2,0)</f>
        <v>0</v>
      </c>
      <c r="I172" s="110"/>
    </row>
    <row r="173" spans="1:11" ht="16.350000000000001" customHeight="1">
      <c r="A173" s="45">
        <v>2</v>
      </c>
      <c r="B173" s="120" t="s">
        <v>148</v>
      </c>
      <c r="C173" s="120" t="s">
        <v>88</v>
      </c>
      <c r="D173" s="9"/>
      <c r="E173" s="9"/>
      <c r="F173" s="130">
        <f t="shared" ref="F173:F177" si="30">IF(E173="",0,IF(E173&gt;0,RANK(E173,$E$172:$E$185,1)))</f>
        <v>0</v>
      </c>
      <c r="G173" s="131">
        <f t="shared" ref="G173:G177" si="31">VLOOKUP(F173,$L$3:$M$33,2,0)</f>
        <v>0</v>
      </c>
      <c r="I173" s="110"/>
    </row>
    <row r="174" spans="1:11" ht="16.350000000000001" customHeight="1">
      <c r="A174" s="45">
        <v>3</v>
      </c>
      <c r="B174" s="120" t="s">
        <v>23</v>
      </c>
      <c r="C174" s="120" t="s">
        <v>53</v>
      </c>
      <c r="D174" s="9"/>
      <c r="E174" s="9"/>
      <c r="F174" s="130">
        <f t="shared" si="30"/>
        <v>0</v>
      </c>
      <c r="G174" s="131">
        <f t="shared" si="31"/>
        <v>0</v>
      </c>
      <c r="I174" s="110"/>
    </row>
    <row r="175" spans="1:11" ht="16.350000000000001" customHeight="1">
      <c r="A175" s="45">
        <v>4</v>
      </c>
      <c r="B175" s="120" t="s">
        <v>149</v>
      </c>
      <c r="C175" s="120" t="s">
        <v>53</v>
      </c>
      <c r="D175" s="9"/>
      <c r="E175" s="9"/>
      <c r="F175" s="130">
        <f t="shared" si="30"/>
        <v>0</v>
      </c>
      <c r="G175" s="131">
        <f t="shared" si="31"/>
        <v>0</v>
      </c>
      <c r="H175" s="31">
        <v>631005</v>
      </c>
      <c r="I175" s="111"/>
      <c r="J175" s="101"/>
      <c r="K175" s="101"/>
    </row>
    <row r="176" spans="1:11" ht="16.350000000000001" customHeight="1">
      <c r="A176" s="45">
        <v>5</v>
      </c>
      <c r="B176" s="120" t="s">
        <v>150</v>
      </c>
      <c r="C176" s="120" t="s">
        <v>73</v>
      </c>
      <c r="D176" s="9"/>
      <c r="E176" s="9"/>
      <c r="F176" s="130">
        <f t="shared" si="30"/>
        <v>0</v>
      </c>
      <c r="G176" s="131">
        <f t="shared" si="31"/>
        <v>0</v>
      </c>
      <c r="I176" s="110"/>
    </row>
    <row r="177" spans="1:9" ht="16.350000000000001" customHeight="1">
      <c r="A177" s="45">
        <v>6</v>
      </c>
      <c r="B177" s="74"/>
      <c r="C177" s="74"/>
      <c r="D177" s="9"/>
      <c r="E177" s="9"/>
      <c r="F177" s="130">
        <f t="shared" si="30"/>
        <v>0</v>
      </c>
      <c r="G177" s="131">
        <f t="shared" si="31"/>
        <v>0</v>
      </c>
      <c r="I177" s="110"/>
    </row>
    <row r="178" spans="1:9" s="61" customFormat="1" ht="16.350000000000001" customHeight="1">
      <c r="A178" s="69" t="s">
        <v>155</v>
      </c>
      <c r="B178" s="63"/>
      <c r="C178" s="68"/>
      <c r="D178" s="65"/>
      <c r="E178" s="65"/>
      <c r="F178" s="130"/>
      <c r="G178" s="132"/>
      <c r="I178" s="110"/>
    </row>
    <row r="179" spans="1:9" ht="16.350000000000001" customHeight="1">
      <c r="A179" s="43" t="s">
        <v>0</v>
      </c>
      <c r="B179" s="7" t="s">
        <v>1</v>
      </c>
      <c r="C179" s="8" t="s">
        <v>4</v>
      </c>
      <c r="D179" s="7" t="s">
        <v>2</v>
      </c>
      <c r="E179" s="7" t="s">
        <v>6</v>
      </c>
      <c r="F179" s="128" t="s">
        <v>7</v>
      </c>
      <c r="G179" s="129" t="s">
        <v>8</v>
      </c>
      <c r="I179" s="110"/>
    </row>
    <row r="180" spans="1:9" ht="16.350000000000001" customHeight="1">
      <c r="A180" s="45">
        <v>1</v>
      </c>
      <c r="B180" s="90"/>
      <c r="C180" s="79"/>
      <c r="D180" s="9"/>
      <c r="E180" s="11"/>
      <c r="F180" s="130">
        <f t="shared" ref="F180:F185" si="32">IF(E180="",0,IF(E180&gt;0,RANK(E180,$E$172:$E$185,1)))</f>
        <v>0</v>
      </c>
      <c r="G180" s="131">
        <f>VLOOKUP(F180,$L$3:$M$33,2,0)</f>
        <v>0</v>
      </c>
      <c r="I180" s="110"/>
    </row>
    <row r="181" spans="1:9" ht="16.350000000000001" customHeight="1">
      <c r="A181" s="45">
        <v>2</v>
      </c>
      <c r="B181" s="127" t="s">
        <v>151</v>
      </c>
      <c r="C181" s="120" t="s">
        <v>73</v>
      </c>
      <c r="D181" s="9"/>
      <c r="E181" s="11"/>
      <c r="F181" s="130">
        <f t="shared" si="32"/>
        <v>0</v>
      </c>
      <c r="G181" s="131">
        <f t="shared" ref="G181:G185" si="33">VLOOKUP(F181,$L$3:$M$33,2,0)</f>
        <v>0</v>
      </c>
      <c r="I181" s="110"/>
    </row>
    <row r="182" spans="1:9" ht="16.350000000000001" customHeight="1">
      <c r="A182" s="45">
        <v>3</v>
      </c>
      <c r="B182" s="120" t="s">
        <v>22</v>
      </c>
      <c r="C182" s="120" t="s">
        <v>56</v>
      </c>
      <c r="D182" s="9"/>
      <c r="E182" s="11"/>
      <c r="F182" s="130">
        <f t="shared" si="32"/>
        <v>0</v>
      </c>
      <c r="G182" s="131">
        <f t="shared" si="33"/>
        <v>0</v>
      </c>
      <c r="I182" s="110"/>
    </row>
    <row r="183" spans="1:9" ht="16.350000000000001" customHeight="1">
      <c r="A183" s="45">
        <v>4</v>
      </c>
      <c r="B183" s="120" t="s">
        <v>152</v>
      </c>
      <c r="C183" s="120" t="s">
        <v>82</v>
      </c>
      <c r="D183" s="9"/>
      <c r="E183" s="11"/>
      <c r="F183" s="130">
        <f t="shared" si="32"/>
        <v>0</v>
      </c>
      <c r="G183" s="131">
        <f t="shared" si="33"/>
        <v>0</v>
      </c>
      <c r="I183" s="110"/>
    </row>
    <row r="184" spans="1:9" ht="16.350000000000001" customHeight="1">
      <c r="A184" s="45">
        <v>5</v>
      </c>
      <c r="B184" s="120" t="s">
        <v>153</v>
      </c>
      <c r="C184" s="120" t="s">
        <v>154</v>
      </c>
      <c r="D184" s="9"/>
      <c r="E184" s="11"/>
      <c r="F184" s="130">
        <f>IF(E184="",0,IF(E184&gt;0,RANK(E184,$E$172:$E$185,1)))</f>
        <v>0</v>
      </c>
      <c r="G184" s="131">
        <f t="shared" si="33"/>
        <v>0</v>
      </c>
      <c r="I184" s="110"/>
    </row>
    <row r="185" spans="1:9" ht="16.350000000000001" customHeight="1">
      <c r="A185" s="45">
        <v>6</v>
      </c>
      <c r="B185" s="74"/>
      <c r="C185" s="74"/>
      <c r="D185" s="9"/>
      <c r="E185" s="11"/>
      <c r="F185" s="130">
        <f t="shared" si="32"/>
        <v>0</v>
      </c>
      <c r="G185" s="131">
        <f t="shared" si="33"/>
        <v>0</v>
      </c>
      <c r="I185" s="110"/>
    </row>
    <row r="186" spans="1:9" ht="16.350000000000001" customHeight="1">
      <c r="A186" s="69" t="s">
        <v>158</v>
      </c>
      <c r="B186" s="5"/>
      <c r="C186" s="4"/>
      <c r="F186" s="10"/>
      <c r="G186" s="48"/>
    </row>
    <row r="187" spans="1:9" ht="16.350000000000001" customHeight="1">
      <c r="A187" s="43" t="s">
        <v>0</v>
      </c>
      <c r="B187" s="7" t="s">
        <v>1</v>
      </c>
      <c r="C187" s="8" t="s">
        <v>4</v>
      </c>
      <c r="D187" s="7" t="s">
        <v>2</v>
      </c>
      <c r="E187" s="7" t="s">
        <v>6</v>
      </c>
      <c r="F187" s="7" t="s">
        <v>7</v>
      </c>
      <c r="G187" s="44" t="s">
        <v>8</v>
      </c>
    </row>
    <row r="188" spans="1:9" ht="16.350000000000001" customHeight="1">
      <c r="A188" s="45">
        <v>1</v>
      </c>
      <c r="B188" s="23"/>
      <c r="C188" s="91"/>
      <c r="D188" s="9"/>
      <c r="E188" s="9"/>
      <c r="F188" s="10">
        <f>IF(E188="",0,IF(E188&gt;0,RANK(E188,E188:E193,1)))</f>
        <v>0</v>
      </c>
      <c r="G188" s="46">
        <f>VLOOKUP(F188,$L$3:$M$33,2,0)</f>
        <v>0</v>
      </c>
    </row>
    <row r="189" spans="1:9" ht="16.350000000000001" customHeight="1">
      <c r="A189" s="45">
        <v>2</v>
      </c>
      <c r="B189" s="85"/>
      <c r="C189" s="85"/>
      <c r="D189" s="9"/>
      <c r="E189" s="11"/>
      <c r="F189" s="10">
        <f>IF(E189="",0,IF(E189&gt;0,RANK(E189,E188:E193,1)))</f>
        <v>0</v>
      </c>
      <c r="G189" s="46">
        <f t="shared" ref="G189:G193" si="34">VLOOKUP(F189,$L$3:$M$33,2,0)</f>
        <v>0</v>
      </c>
    </row>
    <row r="190" spans="1:9" ht="16.350000000000001" customHeight="1">
      <c r="A190" s="45">
        <v>3</v>
      </c>
      <c r="B190" s="120" t="s">
        <v>156</v>
      </c>
      <c r="C190" s="120" t="s">
        <v>53</v>
      </c>
      <c r="D190" s="9"/>
      <c r="E190" s="11"/>
      <c r="F190" s="10">
        <f>IF(E190="",0,IF(E190&gt;0,RANK(E190,E188:E193,1)))</f>
        <v>0</v>
      </c>
      <c r="G190" s="46">
        <f t="shared" si="34"/>
        <v>0</v>
      </c>
    </row>
    <row r="191" spans="1:9" ht="16.350000000000001" customHeight="1">
      <c r="A191" s="45">
        <v>4</v>
      </c>
      <c r="B191" s="127" t="s">
        <v>157</v>
      </c>
      <c r="C191" s="120" t="s">
        <v>84</v>
      </c>
      <c r="D191" s="9"/>
      <c r="E191" s="11"/>
      <c r="F191" s="10">
        <f>IF(E191="",0,IF(E191&gt;0,RANK(E191,E188:E193,1)))</f>
        <v>0</v>
      </c>
      <c r="G191" s="46">
        <f t="shared" si="34"/>
        <v>0</v>
      </c>
    </row>
    <row r="192" spans="1:9" ht="16.350000000000001" customHeight="1">
      <c r="A192" s="45">
        <v>5</v>
      </c>
      <c r="B192" s="85"/>
      <c r="C192" s="85"/>
      <c r="D192" s="9"/>
      <c r="E192" s="11"/>
      <c r="F192" s="10">
        <f>IF(E192="",0,IF(E192&gt;0,RANK(E192,E188:E193,1)))</f>
        <v>0</v>
      </c>
      <c r="G192" s="46">
        <f t="shared" si="34"/>
        <v>0</v>
      </c>
    </row>
    <row r="193" spans="1:7" ht="16.350000000000001" customHeight="1">
      <c r="A193" s="45">
        <v>6</v>
      </c>
      <c r="B193" s="23"/>
      <c r="C193" s="91"/>
      <c r="D193" s="9"/>
      <c r="E193" s="11"/>
      <c r="F193" s="10">
        <f>IF(E193="",0,IF(E193&gt;0,RANK(E193,E188:E193,1)))</f>
        <v>0</v>
      </c>
      <c r="G193" s="46">
        <f t="shared" si="34"/>
        <v>0</v>
      </c>
    </row>
    <row r="194" spans="1:7" ht="16.350000000000001" customHeight="1">
      <c r="A194" s="47" t="s">
        <v>159</v>
      </c>
      <c r="B194" s="5"/>
      <c r="C194" s="6"/>
      <c r="G194" s="48"/>
    </row>
    <row r="195" spans="1:7" ht="16.350000000000001" customHeight="1">
      <c r="A195" s="43" t="s">
        <v>0</v>
      </c>
      <c r="B195" s="7" t="s">
        <v>1</v>
      </c>
      <c r="C195" s="8" t="s">
        <v>4</v>
      </c>
      <c r="D195" s="7" t="s">
        <v>2</v>
      </c>
      <c r="E195" s="7" t="s">
        <v>6</v>
      </c>
      <c r="F195" s="7" t="s">
        <v>7</v>
      </c>
      <c r="G195" s="44" t="s">
        <v>8</v>
      </c>
    </row>
    <row r="196" spans="1:7" ht="16.350000000000001" customHeight="1">
      <c r="A196" s="45">
        <v>1</v>
      </c>
      <c r="B196" s="120" t="s">
        <v>94</v>
      </c>
      <c r="C196" s="120" t="s">
        <v>15</v>
      </c>
      <c r="D196" s="9"/>
      <c r="E196" s="9"/>
      <c r="F196" s="10">
        <f>IF(E196="",0,IF(E196&gt;0,RANK(E196,E196:E201,1)))</f>
        <v>0</v>
      </c>
      <c r="G196" s="46">
        <f>VLOOKUP(F196,$L$3:$M$33,2,0)</f>
        <v>0</v>
      </c>
    </row>
    <row r="197" spans="1:7" ht="16.350000000000001" customHeight="1">
      <c r="A197" s="45">
        <v>2</v>
      </c>
      <c r="B197" s="120" t="s">
        <v>27</v>
      </c>
      <c r="C197" s="120" t="s">
        <v>60</v>
      </c>
      <c r="D197" s="9"/>
      <c r="E197" s="9"/>
      <c r="F197" s="10">
        <f>IF(E197="",0,IF(E197&gt;0,RANK(E197,E196:E201,1)))</f>
        <v>0</v>
      </c>
      <c r="G197" s="46">
        <f t="shared" ref="G197:G201" si="35">VLOOKUP(F197,$L$3:$M$33,2,0)</f>
        <v>0</v>
      </c>
    </row>
    <row r="198" spans="1:7" ht="16.350000000000001" customHeight="1">
      <c r="A198" s="45">
        <v>3</v>
      </c>
      <c r="B198" s="120" t="s">
        <v>160</v>
      </c>
      <c r="C198" s="120" t="s">
        <v>60</v>
      </c>
      <c r="D198" s="9"/>
      <c r="E198" s="9"/>
      <c r="F198" s="10">
        <f>IF(E198="",0,IF(E198&gt;0,RANK(E198,E196:E201,1)))</f>
        <v>0</v>
      </c>
      <c r="G198" s="46">
        <f t="shared" si="35"/>
        <v>0</v>
      </c>
    </row>
    <row r="199" spans="1:7" ht="16.350000000000001" customHeight="1">
      <c r="A199" s="45">
        <v>4</v>
      </c>
      <c r="B199" s="120" t="s">
        <v>161</v>
      </c>
      <c r="C199" s="120" t="s">
        <v>60</v>
      </c>
      <c r="D199" s="9"/>
      <c r="E199" s="9"/>
      <c r="F199" s="10">
        <f>IF(E199="",0,IF(E199&gt;0,RANK(E199,E196:E201,1)))</f>
        <v>0</v>
      </c>
      <c r="G199" s="46">
        <f t="shared" si="35"/>
        <v>0</v>
      </c>
    </row>
    <row r="200" spans="1:7" ht="16.350000000000001" customHeight="1">
      <c r="A200" s="45">
        <v>5</v>
      </c>
      <c r="B200" s="120" t="s">
        <v>162</v>
      </c>
      <c r="C200" s="120" t="s">
        <v>53</v>
      </c>
      <c r="D200" s="9"/>
      <c r="E200" s="9"/>
      <c r="F200" s="10">
        <f>IF(E200="",0,IF(E200&gt;0,RANK(E200,E196:E201,1)))</f>
        <v>0</v>
      </c>
      <c r="G200" s="46">
        <f t="shared" si="35"/>
        <v>0</v>
      </c>
    </row>
    <row r="201" spans="1:7" ht="16.350000000000001" customHeight="1">
      <c r="A201" s="45">
        <v>6</v>
      </c>
      <c r="B201" s="120" t="s">
        <v>163</v>
      </c>
      <c r="C201" s="120" t="s">
        <v>82</v>
      </c>
      <c r="D201" s="9"/>
      <c r="E201" s="9"/>
      <c r="F201" s="10">
        <f>IF(E201="",0,IF(E201&gt;0,RANK(E201,E196:E201,1)))</f>
        <v>0</v>
      </c>
      <c r="G201" s="46">
        <f t="shared" si="35"/>
        <v>0</v>
      </c>
    </row>
    <row r="202" spans="1:7" ht="16.350000000000001" customHeight="1">
      <c r="A202" s="51" t="s">
        <v>169</v>
      </c>
      <c r="B202" s="5"/>
      <c r="C202" s="5"/>
      <c r="D202" s="16"/>
      <c r="E202" s="16"/>
      <c r="F202" s="16"/>
      <c r="G202" s="52"/>
    </row>
    <row r="203" spans="1:7" ht="16.350000000000001" customHeight="1">
      <c r="A203" s="43" t="s">
        <v>0</v>
      </c>
      <c r="B203" s="7" t="s">
        <v>1</v>
      </c>
      <c r="C203" s="8" t="s">
        <v>4</v>
      </c>
      <c r="D203" s="7" t="s">
        <v>2</v>
      </c>
      <c r="E203" s="7" t="s">
        <v>6</v>
      </c>
      <c r="F203" s="128" t="s">
        <v>7</v>
      </c>
      <c r="G203" s="129" t="s">
        <v>8</v>
      </c>
    </row>
    <row r="204" spans="1:7" ht="16.350000000000001" customHeight="1">
      <c r="A204" s="45">
        <v>1</v>
      </c>
      <c r="B204" s="120" t="s">
        <v>17</v>
      </c>
      <c r="C204" s="120" t="s">
        <v>15</v>
      </c>
      <c r="D204" s="9"/>
      <c r="E204" s="9"/>
      <c r="F204" s="130">
        <f>IF(E204="",0,IF(E204&gt;0,RANK(E204,E204:E217,1)))</f>
        <v>0</v>
      </c>
      <c r="G204" s="131">
        <f>VLOOKUP(F204,$L$3:$M$33,2,0)</f>
        <v>0</v>
      </c>
    </row>
    <row r="205" spans="1:7" ht="16.350000000000001" customHeight="1">
      <c r="A205" s="45">
        <v>2</v>
      </c>
      <c r="B205" s="120" t="s">
        <v>99</v>
      </c>
      <c r="C205" s="120" t="s">
        <v>60</v>
      </c>
      <c r="D205" s="9"/>
      <c r="E205" s="9"/>
      <c r="F205" s="130">
        <f>IF(E205="",0,IF(E205&gt;0,RANK(E205,E204:E217,1)))</f>
        <v>0</v>
      </c>
      <c r="G205" s="131">
        <f t="shared" ref="G205:G209" si="36">VLOOKUP(F205,$L$3:$M$33,2,0)</f>
        <v>0</v>
      </c>
    </row>
    <row r="206" spans="1:7" ht="16.350000000000001" customHeight="1">
      <c r="A206" s="45">
        <v>3</v>
      </c>
      <c r="B206" s="120" t="s">
        <v>30</v>
      </c>
      <c r="C206" s="120" t="s">
        <v>56</v>
      </c>
      <c r="D206" s="9"/>
      <c r="E206" s="9"/>
      <c r="F206" s="130">
        <f>IF(E206="",0,IF(E206&gt;0,RANK(E206,E204:E217,1)))</f>
        <v>0</v>
      </c>
      <c r="G206" s="131">
        <f t="shared" si="36"/>
        <v>0</v>
      </c>
    </row>
    <row r="207" spans="1:7" ht="16.350000000000001" customHeight="1">
      <c r="A207" s="45">
        <v>4</v>
      </c>
      <c r="B207" s="126" t="s">
        <v>164</v>
      </c>
      <c r="C207" s="126" t="s">
        <v>113</v>
      </c>
      <c r="D207" s="9"/>
      <c r="E207" s="9"/>
      <c r="F207" s="130">
        <f>IF(E207="",0,IF(E207&gt;0,RANK(E207,E204:E217,1)))</f>
        <v>0</v>
      </c>
      <c r="G207" s="131">
        <f t="shared" si="36"/>
        <v>0</v>
      </c>
    </row>
    <row r="208" spans="1:7" ht="16.350000000000001" customHeight="1">
      <c r="A208" s="45">
        <v>5</v>
      </c>
      <c r="B208" s="120" t="s">
        <v>28</v>
      </c>
      <c r="C208" s="120" t="s">
        <v>60</v>
      </c>
      <c r="D208" s="9"/>
      <c r="E208" s="9"/>
      <c r="F208" s="130">
        <f>IF(E208="",0,IF(E208&gt;0,RANK(E208,E204:E217,1)))</f>
        <v>0</v>
      </c>
      <c r="G208" s="131">
        <f t="shared" si="36"/>
        <v>0</v>
      </c>
    </row>
    <row r="209" spans="1:7" ht="16.350000000000001" customHeight="1">
      <c r="A209" s="45">
        <v>6</v>
      </c>
      <c r="B209" s="120" t="s">
        <v>165</v>
      </c>
      <c r="C209" s="120" t="s">
        <v>60</v>
      </c>
      <c r="D209" s="9"/>
      <c r="E209" s="9"/>
      <c r="F209" s="130">
        <f>IF(E209="",0,IF(E209&gt;0,RANK(E209,E204:E217,1)))</f>
        <v>0</v>
      </c>
      <c r="G209" s="131">
        <f t="shared" si="36"/>
        <v>0</v>
      </c>
    </row>
    <row r="210" spans="1:7" ht="16.350000000000001" customHeight="1">
      <c r="A210" s="51" t="s">
        <v>170</v>
      </c>
      <c r="B210" s="5"/>
      <c r="C210" s="5"/>
      <c r="D210" s="16"/>
      <c r="E210" s="16"/>
      <c r="F210" s="138"/>
      <c r="G210" s="139"/>
    </row>
    <row r="211" spans="1:7" ht="16.350000000000001" customHeight="1">
      <c r="A211" s="43" t="s">
        <v>0</v>
      </c>
      <c r="B211" s="7" t="s">
        <v>1</v>
      </c>
      <c r="C211" s="8" t="s">
        <v>4</v>
      </c>
      <c r="D211" s="7" t="s">
        <v>2</v>
      </c>
      <c r="E211" s="7" t="s">
        <v>6</v>
      </c>
      <c r="F211" s="128" t="s">
        <v>7</v>
      </c>
      <c r="G211" s="129" t="s">
        <v>8</v>
      </c>
    </row>
    <row r="212" spans="1:7" ht="16.350000000000001" customHeight="1">
      <c r="A212" s="45">
        <v>1</v>
      </c>
      <c r="B212" s="120" t="s">
        <v>166</v>
      </c>
      <c r="C212" s="120" t="s">
        <v>53</v>
      </c>
      <c r="D212" s="74"/>
      <c r="E212" s="9"/>
      <c r="F212" s="130">
        <f>IF(E212="",0,IF(E212&gt;0,RANK(E212,E204:E217,1)))</f>
        <v>0</v>
      </c>
      <c r="G212" s="131">
        <f>VLOOKUP(F212,$L$3:$M$33,2,0)</f>
        <v>0</v>
      </c>
    </row>
    <row r="213" spans="1:7" ht="16.350000000000001" customHeight="1">
      <c r="A213" s="45">
        <v>2</v>
      </c>
      <c r="B213" s="120" t="s">
        <v>167</v>
      </c>
      <c r="C213" s="120" t="s">
        <v>53</v>
      </c>
      <c r="D213" s="9"/>
      <c r="E213" s="9"/>
      <c r="F213" s="130">
        <f>IF(E213="",0,IF(E213&gt;0,RANK(E213,E204:E217,1)))</f>
        <v>0</v>
      </c>
      <c r="G213" s="131">
        <f t="shared" ref="G213:G217" si="37">VLOOKUP(F213,$L$3:$M$33,2,0)</f>
        <v>0</v>
      </c>
    </row>
    <row r="214" spans="1:7" ht="16.350000000000001" customHeight="1">
      <c r="A214" s="45">
        <v>3</v>
      </c>
      <c r="B214" s="120" t="s">
        <v>29</v>
      </c>
      <c r="C214" s="120" t="s">
        <v>58</v>
      </c>
      <c r="D214" s="9"/>
      <c r="E214" s="9"/>
      <c r="F214" s="130">
        <f>IF(E214="",0,IF(E214&gt;0,RANK(E214,E204:E217,1)))</f>
        <v>0</v>
      </c>
      <c r="G214" s="131">
        <f t="shared" si="37"/>
        <v>0</v>
      </c>
    </row>
    <row r="215" spans="1:7" ht="16.350000000000001" customHeight="1">
      <c r="A215" s="45">
        <v>4</v>
      </c>
      <c r="B215" s="120" t="s">
        <v>26</v>
      </c>
      <c r="C215" s="120" t="s">
        <v>56</v>
      </c>
      <c r="D215" s="9"/>
      <c r="E215" s="9"/>
      <c r="F215" s="130">
        <f>IF(E215="",0,IF(E215&gt;0,RANK(E215,E204:E217,1)))</f>
        <v>0</v>
      </c>
      <c r="G215" s="131">
        <f t="shared" si="37"/>
        <v>0</v>
      </c>
    </row>
    <row r="216" spans="1:7" ht="16.350000000000001" customHeight="1">
      <c r="A216" s="45">
        <v>5</v>
      </c>
      <c r="B216" s="120" t="s">
        <v>168</v>
      </c>
      <c r="C216" s="120" t="s">
        <v>78</v>
      </c>
      <c r="D216" s="74"/>
      <c r="E216" s="9"/>
      <c r="F216" s="130">
        <f>IF(E216="",0,IF(E216&gt;0,RANK(E216,E204:E217,1)))</f>
        <v>0</v>
      </c>
      <c r="G216" s="131">
        <f t="shared" si="37"/>
        <v>0</v>
      </c>
    </row>
    <row r="217" spans="1:7" ht="16.350000000000001" customHeight="1">
      <c r="A217" s="45">
        <v>6</v>
      </c>
      <c r="B217" s="90"/>
      <c r="C217" s="23"/>
      <c r="D217" s="9"/>
      <c r="E217" s="9"/>
      <c r="F217" s="130">
        <f>IF(E217="",0,IF(E217&gt;0,RANK(E217,E204:E217,1)))</f>
        <v>0</v>
      </c>
      <c r="G217" s="131">
        <f t="shared" si="37"/>
        <v>0</v>
      </c>
    </row>
    <row r="218" spans="1:7" ht="16.350000000000001" customHeight="1">
      <c r="A218" s="51" t="s">
        <v>171</v>
      </c>
      <c r="B218" s="5"/>
      <c r="C218" s="5"/>
      <c r="D218" s="16"/>
      <c r="E218" s="16"/>
      <c r="F218" s="16"/>
      <c r="G218" s="52"/>
    </row>
    <row r="219" spans="1:7" ht="16.350000000000001" customHeight="1">
      <c r="A219" s="43" t="s">
        <v>0</v>
      </c>
      <c r="B219" s="7" t="s">
        <v>1</v>
      </c>
      <c r="C219" s="8" t="s">
        <v>4</v>
      </c>
      <c r="D219" s="7" t="s">
        <v>2</v>
      </c>
      <c r="E219" s="7" t="s">
        <v>6</v>
      </c>
      <c r="F219" s="128" t="s">
        <v>7</v>
      </c>
      <c r="G219" s="129" t="s">
        <v>8</v>
      </c>
    </row>
    <row r="220" spans="1:7" ht="16.350000000000001" customHeight="1">
      <c r="A220" s="45">
        <v>1</v>
      </c>
      <c r="B220" s="120"/>
      <c r="C220" s="120"/>
      <c r="D220" s="74"/>
      <c r="E220" s="9"/>
      <c r="F220" s="130">
        <f>IF(E220="",0,IF(E220&gt;0,RANK(E220,E220:E233,1)))</f>
        <v>0</v>
      </c>
      <c r="G220" s="131">
        <f>VLOOKUP(F220,$L$3:$M$33,2,0)</f>
        <v>0</v>
      </c>
    </row>
    <row r="221" spans="1:7" ht="16.350000000000001" customHeight="1">
      <c r="A221" s="45">
        <v>2</v>
      </c>
      <c r="B221" s="120" t="s">
        <v>33</v>
      </c>
      <c r="C221" s="120" t="s">
        <v>53</v>
      </c>
      <c r="D221" s="9"/>
      <c r="E221" s="9"/>
      <c r="F221" s="130">
        <f>IF(E221="",0,IF(E221&gt;0,RANK(E221,E220:E233,1)))</f>
        <v>0</v>
      </c>
      <c r="G221" s="131">
        <f t="shared" ref="G221:G225" si="38">VLOOKUP(F221,$L$3:$M$33,2,0)</f>
        <v>0</v>
      </c>
    </row>
    <row r="222" spans="1:7" ht="16.350000000000001" customHeight="1">
      <c r="A222" s="45">
        <v>3</v>
      </c>
      <c r="B222" s="120" t="s">
        <v>18</v>
      </c>
      <c r="C222" s="120" t="s">
        <v>53</v>
      </c>
      <c r="D222" s="9"/>
      <c r="E222" s="9"/>
      <c r="F222" s="130">
        <f>IF(E222="",0,IF(E222&gt;0,RANK(E222,E220:E233,1)))</f>
        <v>0</v>
      </c>
      <c r="G222" s="131">
        <f t="shared" si="38"/>
        <v>0</v>
      </c>
    </row>
    <row r="223" spans="1:7" ht="16.350000000000001" customHeight="1">
      <c r="A223" s="45">
        <v>4</v>
      </c>
      <c r="B223" s="120" t="s">
        <v>173</v>
      </c>
      <c r="C223" s="120" t="s">
        <v>60</v>
      </c>
      <c r="D223" s="9"/>
      <c r="E223" s="9"/>
      <c r="F223" s="130">
        <f>IF(E223="",0,IF(E223&gt;0,RANK(E223,E220:E233,1)))</f>
        <v>0</v>
      </c>
      <c r="G223" s="131">
        <f t="shared" si="38"/>
        <v>0</v>
      </c>
    </row>
    <row r="224" spans="1:7" ht="16.350000000000001" customHeight="1">
      <c r="A224" s="45">
        <v>5</v>
      </c>
      <c r="B224" s="120" t="s">
        <v>51</v>
      </c>
      <c r="C224" s="120" t="s">
        <v>53</v>
      </c>
      <c r="D224" s="74"/>
      <c r="E224" s="9"/>
      <c r="F224" s="130">
        <f>IF(E224="",0,IF(E224&gt;0,RANK(E224,E220:E233,1)))</f>
        <v>0</v>
      </c>
      <c r="G224" s="131">
        <f t="shared" si="38"/>
        <v>0</v>
      </c>
    </row>
    <row r="225" spans="1:7" ht="16.350000000000001" customHeight="1">
      <c r="A225" s="45">
        <v>6</v>
      </c>
      <c r="B225" s="90"/>
      <c r="C225" s="23"/>
      <c r="D225" s="9"/>
      <c r="E225" s="9"/>
      <c r="F225" s="130">
        <f>IF(E225="",0,IF(E225&gt;0,RANK(E225,E220:E233,1)))</f>
        <v>0</v>
      </c>
      <c r="G225" s="131">
        <f t="shared" si="38"/>
        <v>0</v>
      </c>
    </row>
    <row r="226" spans="1:7" ht="16.350000000000001" customHeight="1">
      <c r="A226" s="51" t="s">
        <v>172</v>
      </c>
      <c r="B226" s="5"/>
      <c r="C226" s="5"/>
      <c r="D226" s="16"/>
      <c r="E226" s="16"/>
      <c r="F226" s="138"/>
      <c r="G226" s="139"/>
    </row>
    <row r="227" spans="1:7" ht="16.350000000000001" customHeight="1">
      <c r="A227" s="43" t="s">
        <v>0</v>
      </c>
      <c r="B227" s="7" t="s">
        <v>1</v>
      </c>
      <c r="C227" s="8" t="s">
        <v>4</v>
      </c>
      <c r="D227" s="7" t="s">
        <v>2</v>
      </c>
      <c r="E227" s="7" t="s">
        <v>6</v>
      </c>
      <c r="F227" s="128" t="s">
        <v>7</v>
      </c>
      <c r="G227" s="129" t="s">
        <v>8</v>
      </c>
    </row>
    <row r="228" spans="1:7" ht="16.350000000000001" customHeight="1">
      <c r="A228" s="45">
        <v>1</v>
      </c>
      <c r="B228" s="120"/>
      <c r="C228" s="120"/>
      <c r="D228" s="74"/>
      <c r="E228" s="9"/>
      <c r="F228" s="130">
        <f>IF(E228="",0,IF(E228&gt;0,RANK(E228,E220:E233,1)))</f>
        <v>0</v>
      </c>
      <c r="G228" s="131">
        <f>VLOOKUP(F228,$L$3:$M$33,2,0)</f>
        <v>0</v>
      </c>
    </row>
    <row r="229" spans="1:7" ht="16.350000000000001" customHeight="1">
      <c r="A229" s="45">
        <v>2</v>
      </c>
      <c r="B229" s="120" t="s">
        <v>174</v>
      </c>
      <c r="C229" s="120" t="s">
        <v>53</v>
      </c>
      <c r="D229" s="9"/>
      <c r="E229" s="9"/>
      <c r="F229" s="130">
        <f>IF(E229="",0,IF(E229&gt;0,RANK(E229,E220:E233,1)))</f>
        <v>0</v>
      </c>
      <c r="G229" s="131">
        <f t="shared" ref="G229:G233" si="39">VLOOKUP(F229,$L$3:$M$33,2,0)</f>
        <v>0</v>
      </c>
    </row>
    <row r="230" spans="1:7" ht="16.350000000000001" customHeight="1">
      <c r="A230" s="45">
        <v>3</v>
      </c>
      <c r="B230" s="120" t="s">
        <v>32</v>
      </c>
      <c r="C230" s="120" t="s">
        <v>53</v>
      </c>
      <c r="D230" s="9"/>
      <c r="E230" s="9"/>
      <c r="F230" s="130">
        <f>IF(E230="",0,IF(E230&gt;0,RANK(E230,E220:E233,1)))</f>
        <v>0</v>
      </c>
      <c r="G230" s="131">
        <f t="shared" si="39"/>
        <v>0</v>
      </c>
    </row>
    <row r="231" spans="1:7" ht="16.350000000000001" customHeight="1">
      <c r="A231" s="45">
        <v>4</v>
      </c>
      <c r="B231" s="136" t="s">
        <v>175</v>
      </c>
      <c r="C231" s="136" t="s">
        <v>71</v>
      </c>
      <c r="D231" s="9"/>
      <c r="E231" s="9"/>
      <c r="F231" s="130">
        <f>IF(E231="",0,IF(E231&gt;0,RANK(E231,E220:E233,1)))</f>
        <v>0</v>
      </c>
      <c r="G231" s="131">
        <f t="shared" si="39"/>
        <v>0</v>
      </c>
    </row>
    <row r="232" spans="1:7" ht="16.350000000000001" customHeight="1">
      <c r="A232" s="45">
        <v>5</v>
      </c>
      <c r="B232" s="120" t="s">
        <v>176</v>
      </c>
      <c r="C232" s="120" t="s">
        <v>56</v>
      </c>
      <c r="D232" s="74"/>
      <c r="E232" s="9"/>
      <c r="F232" s="130">
        <f>IF(E232="",0,IF(E232&gt;0,RANK(E232,E220:E233,1)))</f>
        <v>0</v>
      </c>
      <c r="G232" s="131">
        <f t="shared" si="39"/>
        <v>0</v>
      </c>
    </row>
    <row r="233" spans="1:7" ht="16.350000000000001" customHeight="1">
      <c r="A233" s="45">
        <v>6</v>
      </c>
      <c r="B233" s="90"/>
      <c r="C233" s="23"/>
      <c r="D233" s="9"/>
      <c r="E233" s="9"/>
      <c r="F233" s="130">
        <f>IF(E233="",0,IF(E233&gt;0,RANK(E233,E220:E233,1)))</f>
        <v>0</v>
      </c>
      <c r="G233" s="131">
        <f t="shared" si="39"/>
        <v>0</v>
      </c>
    </row>
    <row r="234" spans="1:7" ht="16.350000000000001" customHeight="1">
      <c r="A234" s="51" t="s">
        <v>177</v>
      </c>
      <c r="B234" s="5"/>
      <c r="C234" s="5"/>
      <c r="D234" s="16"/>
      <c r="E234" s="16"/>
      <c r="F234" s="16"/>
      <c r="G234" s="52"/>
    </row>
    <row r="235" spans="1:7" ht="16.350000000000001" customHeight="1">
      <c r="A235" s="43" t="s">
        <v>0</v>
      </c>
      <c r="B235" s="7" t="s">
        <v>1</v>
      </c>
      <c r="C235" s="8" t="s">
        <v>4</v>
      </c>
      <c r="D235" s="7" t="s">
        <v>2</v>
      </c>
      <c r="E235" s="7" t="s">
        <v>6</v>
      </c>
      <c r="F235" s="7" t="s">
        <v>7</v>
      </c>
      <c r="G235" s="44" t="s">
        <v>8</v>
      </c>
    </row>
    <row r="236" spans="1:7" ht="16.350000000000001" customHeight="1">
      <c r="A236" s="45">
        <v>1</v>
      </c>
      <c r="B236" s="120"/>
      <c r="C236" s="120"/>
      <c r="D236" s="74"/>
      <c r="E236" s="9"/>
      <c r="F236" s="10">
        <f>IF(E236="",0,IF(E236&gt;0,RANK(E236,E236:E241,1)))</f>
        <v>0</v>
      </c>
      <c r="G236" s="46">
        <f>VLOOKUP(F236,$L$3:$M$33,2,0)</f>
        <v>0</v>
      </c>
    </row>
    <row r="237" spans="1:7" ht="16.350000000000001" customHeight="1">
      <c r="A237" s="45">
        <v>2</v>
      </c>
      <c r="B237" s="120"/>
      <c r="C237" s="120"/>
      <c r="D237" s="9"/>
      <c r="E237" s="9"/>
      <c r="F237" s="10">
        <f>IF(E237="",0,IF(E237&gt;0,RANK(E237,E236:E241,1)))</f>
        <v>0</v>
      </c>
      <c r="G237" s="46">
        <f t="shared" ref="G237:G241" si="40">VLOOKUP(F237,$L$3:$M$33,2,0)</f>
        <v>0</v>
      </c>
    </row>
    <row r="238" spans="1:7" ht="16.350000000000001" customHeight="1">
      <c r="A238" s="45">
        <v>3</v>
      </c>
      <c r="B238" s="120" t="s">
        <v>31</v>
      </c>
      <c r="C238" s="120" t="s">
        <v>56</v>
      </c>
      <c r="D238" s="9"/>
      <c r="E238" s="9"/>
      <c r="F238" s="10">
        <f>IF(E238="",0,IF(E238&gt;0,RANK(E238,E236:E241,1)))</f>
        <v>0</v>
      </c>
      <c r="G238" s="46">
        <f t="shared" si="40"/>
        <v>0</v>
      </c>
    </row>
    <row r="239" spans="1:7" ht="16.350000000000001" customHeight="1">
      <c r="A239" s="45">
        <v>4</v>
      </c>
      <c r="B239" s="120" t="s">
        <v>124</v>
      </c>
      <c r="C239" s="120" t="s">
        <v>178</v>
      </c>
      <c r="D239" s="9"/>
      <c r="E239" s="9"/>
      <c r="F239" s="10">
        <f>IF(E239="",0,IF(E239&gt;0,RANK(E239,E236:E241,1)))</f>
        <v>0</v>
      </c>
      <c r="G239" s="46">
        <f t="shared" si="40"/>
        <v>0</v>
      </c>
    </row>
    <row r="240" spans="1:7" ht="16.350000000000001" customHeight="1">
      <c r="A240" s="45">
        <v>5</v>
      </c>
      <c r="B240" s="120"/>
      <c r="C240" s="120"/>
      <c r="D240" s="74"/>
      <c r="E240" s="9"/>
      <c r="F240" s="10">
        <f>IF(E240="",0,IF(E240&gt;0,RANK(E240,E236:E241,1)))</f>
        <v>0</v>
      </c>
      <c r="G240" s="46">
        <f t="shared" si="40"/>
        <v>0</v>
      </c>
    </row>
    <row r="241" spans="1:11" ht="16.350000000000001" customHeight="1">
      <c r="A241" s="45">
        <v>6</v>
      </c>
      <c r="B241" s="90"/>
      <c r="C241" s="23"/>
      <c r="D241" s="9"/>
      <c r="E241" s="9"/>
      <c r="F241" s="10">
        <f>IF(E241="",0,IF(E241&gt;0,RANK(E241,E236:E241,1)))</f>
        <v>0</v>
      </c>
      <c r="G241" s="46">
        <f t="shared" si="40"/>
        <v>0</v>
      </c>
    </row>
    <row r="242" spans="1:11" ht="16.350000000000001" customHeight="1">
      <c r="A242" s="51" t="s">
        <v>186</v>
      </c>
      <c r="B242" s="5"/>
      <c r="C242" s="5"/>
      <c r="D242" s="16"/>
      <c r="E242" s="16"/>
      <c r="F242" s="16"/>
      <c r="G242" s="52"/>
    </row>
    <row r="243" spans="1:11" ht="16.350000000000001" customHeight="1">
      <c r="A243" s="43" t="s">
        <v>0</v>
      </c>
      <c r="B243" s="7" t="s">
        <v>1</v>
      </c>
      <c r="C243" s="8" t="s">
        <v>4</v>
      </c>
      <c r="D243" s="7" t="s">
        <v>2</v>
      </c>
      <c r="E243" s="7" t="s">
        <v>6</v>
      </c>
      <c r="F243" s="128" t="s">
        <v>7</v>
      </c>
      <c r="G243" s="129" t="s">
        <v>8</v>
      </c>
    </row>
    <row r="244" spans="1:11" ht="16.350000000000001" customHeight="1">
      <c r="A244" s="45">
        <v>1</v>
      </c>
      <c r="B244" s="136" t="s">
        <v>179</v>
      </c>
      <c r="C244" s="136" t="s">
        <v>71</v>
      </c>
      <c r="D244" s="74"/>
      <c r="E244" s="9"/>
      <c r="F244" s="130">
        <f>IF(E244="",0,IF(E244&gt;0,RANK(E244,E244:E257,1)))</f>
        <v>0</v>
      </c>
      <c r="G244" s="131">
        <f>VLOOKUP(F244,$L$3:$M$33,2,0)</f>
        <v>0</v>
      </c>
    </row>
    <row r="245" spans="1:11" ht="16.350000000000001" customHeight="1">
      <c r="A245" s="45">
        <v>2</v>
      </c>
      <c r="B245" s="127" t="s">
        <v>126</v>
      </c>
      <c r="C245" s="120" t="s">
        <v>78</v>
      </c>
      <c r="D245" s="9"/>
      <c r="E245" s="9"/>
      <c r="F245" s="130">
        <f>IF(E245="",0,IF(E245&gt;0,RANK(E245,E244:E257,1)))</f>
        <v>0</v>
      </c>
      <c r="G245" s="131">
        <f t="shared" ref="G245:G249" si="41">VLOOKUP(F245,$L$3:$M$33,2,0)</f>
        <v>0</v>
      </c>
    </row>
    <row r="246" spans="1:11" ht="16.350000000000001" customHeight="1">
      <c r="A246" s="45">
        <v>3</v>
      </c>
      <c r="B246" s="120" t="s">
        <v>180</v>
      </c>
      <c r="C246" s="120" t="s">
        <v>15</v>
      </c>
      <c r="D246" s="9"/>
      <c r="E246" s="9"/>
      <c r="F246" s="130">
        <f>IF(E246="",0,IF(E246&gt;0,RANK(E246,E244:E257,1)))</f>
        <v>0</v>
      </c>
      <c r="G246" s="131">
        <f t="shared" si="41"/>
        <v>0</v>
      </c>
    </row>
    <row r="247" spans="1:11" ht="16.350000000000001" customHeight="1">
      <c r="A247" s="45">
        <v>4</v>
      </c>
      <c r="B247" s="127" t="s">
        <v>181</v>
      </c>
      <c r="C247" s="120" t="s">
        <v>60</v>
      </c>
      <c r="D247" s="9"/>
      <c r="E247" s="9"/>
      <c r="F247" s="130">
        <f>IF(E247="",0,IF(E247&gt;0,RANK(E247,E244:E257,1)))</f>
        <v>0</v>
      </c>
      <c r="G247" s="131">
        <f t="shared" si="41"/>
        <v>0</v>
      </c>
    </row>
    <row r="248" spans="1:11" ht="16.350000000000001" customHeight="1">
      <c r="A248" s="45">
        <v>5</v>
      </c>
      <c r="B248" s="127" t="s">
        <v>182</v>
      </c>
      <c r="C248" s="120" t="s">
        <v>60</v>
      </c>
      <c r="D248" s="74"/>
      <c r="E248" s="9"/>
      <c r="F248" s="130">
        <f>IF(E248="",0,IF(E248&gt;0,RANK(E248,E244:E257,1)))</f>
        <v>0</v>
      </c>
      <c r="G248" s="131">
        <f t="shared" si="41"/>
        <v>0</v>
      </c>
    </row>
    <row r="249" spans="1:11" ht="16.350000000000001" customHeight="1">
      <c r="A249" s="45">
        <v>6</v>
      </c>
      <c r="B249" s="90"/>
      <c r="C249" s="23"/>
      <c r="D249" s="9"/>
      <c r="E249" s="9"/>
      <c r="F249" s="130">
        <f>IF(E249="",0,IF(E249&gt;0,RANK(E249,E244:E257,1)))</f>
        <v>0</v>
      </c>
      <c r="G249" s="131">
        <f t="shared" si="41"/>
        <v>0</v>
      </c>
    </row>
    <row r="250" spans="1:11" s="35" customFormat="1" ht="16.350000000000001" customHeight="1">
      <c r="A250" s="47" t="s">
        <v>187</v>
      </c>
      <c r="B250" s="5"/>
      <c r="C250" s="4"/>
      <c r="F250" s="140"/>
      <c r="G250" s="141"/>
    </row>
    <row r="251" spans="1:11" ht="16.350000000000001" customHeight="1">
      <c r="A251" s="43" t="s">
        <v>0</v>
      </c>
      <c r="B251" s="7" t="s">
        <v>1</v>
      </c>
      <c r="C251" s="8" t="s">
        <v>4</v>
      </c>
      <c r="D251" s="7" t="s">
        <v>2</v>
      </c>
      <c r="E251" s="7" t="s">
        <v>6</v>
      </c>
      <c r="F251" s="128" t="s">
        <v>7</v>
      </c>
      <c r="G251" s="129" t="s">
        <v>8</v>
      </c>
    </row>
    <row r="252" spans="1:11" ht="16.350000000000001" customHeight="1">
      <c r="A252" s="45">
        <v>1</v>
      </c>
      <c r="B252" s="120" t="s">
        <v>183</v>
      </c>
      <c r="C252" s="120" t="s">
        <v>58</v>
      </c>
      <c r="D252" s="9"/>
      <c r="E252" s="9"/>
      <c r="F252" s="130">
        <f>IF(E252="",0,IF(E252&gt;0,RANK(E252,E244:E257,1)))</f>
        <v>0</v>
      </c>
      <c r="G252" s="131">
        <f>VLOOKUP(F252,$L$3:$M$33,2,0)</f>
        <v>0</v>
      </c>
    </row>
    <row r="253" spans="1:11" ht="16.350000000000001" customHeight="1">
      <c r="A253" s="45">
        <v>2</v>
      </c>
      <c r="B253" s="120" t="s">
        <v>49</v>
      </c>
      <c r="C253" s="120" t="s">
        <v>58</v>
      </c>
      <c r="D253" s="9"/>
      <c r="E253" s="11"/>
      <c r="F253" s="130">
        <f>IF(E253="",0,IF(E253&gt;0,RANK(E253,E244:E257,1)))</f>
        <v>0</v>
      </c>
      <c r="G253" s="131">
        <f t="shared" ref="G253:G257" si="42">VLOOKUP(F253,$L$3:$M$33,2,0)</f>
        <v>0</v>
      </c>
    </row>
    <row r="254" spans="1:11" ht="16.350000000000001" customHeight="1">
      <c r="A254" s="45">
        <v>3</v>
      </c>
      <c r="B254" s="120" t="s">
        <v>184</v>
      </c>
      <c r="C254" s="120" t="s">
        <v>78</v>
      </c>
      <c r="D254" s="9"/>
      <c r="E254" s="11"/>
      <c r="F254" s="130">
        <f>IF(E254="",0,IF(E254&gt;0,RANK(E254,E244:E257,1)))</f>
        <v>0</v>
      </c>
      <c r="G254" s="131">
        <f t="shared" si="42"/>
        <v>0</v>
      </c>
    </row>
    <row r="255" spans="1:11" ht="16.350000000000001" customHeight="1">
      <c r="A255" s="45">
        <v>4</v>
      </c>
      <c r="B255" s="127" t="s">
        <v>34</v>
      </c>
      <c r="C255" s="120" t="s">
        <v>13</v>
      </c>
      <c r="D255" s="9"/>
      <c r="E255" s="11"/>
      <c r="F255" s="130">
        <f>IF(E255="",0,IF(E255&gt;0,RANK(E255,E244:E257,1)))</f>
        <v>0</v>
      </c>
      <c r="G255" s="131">
        <f t="shared" si="42"/>
        <v>0</v>
      </c>
      <c r="H255" s="32">
        <v>581117</v>
      </c>
      <c r="I255" s="102"/>
      <c r="J255" s="102"/>
      <c r="K255" s="102"/>
    </row>
    <row r="256" spans="1:11" ht="16.350000000000001" customHeight="1">
      <c r="A256" s="45">
        <v>5</v>
      </c>
      <c r="B256" s="127" t="s">
        <v>185</v>
      </c>
      <c r="C256" s="120" t="s">
        <v>13</v>
      </c>
      <c r="D256" s="9"/>
      <c r="E256" s="11"/>
      <c r="F256" s="130">
        <f>IF(E256="",0,IF(E256&gt;0,RANK(E256,E244:E257,1)))</f>
        <v>0</v>
      </c>
      <c r="G256" s="131">
        <f t="shared" si="42"/>
        <v>0</v>
      </c>
    </row>
    <row r="257" spans="1:7" ht="16.350000000000001" customHeight="1">
      <c r="A257" s="45">
        <v>6</v>
      </c>
      <c r="B257" s="23"/>
      <c r="C257" s="91"/>
      <c r="D257" s="9"/>
      <c r="E257" s="11"/>
      <c r="F257" s="130">
        <f>IF(E257="",0,IF(E257&gt;0,RANK(E257,E244:E257,1)))</f>
        <v>0</v>
      </c>
      <c r="G257" s="131">
        <f t="shared" si="42"/>
        <v>0</v>
      </c>
    </row>
    <row r="258" spans="1:7" ht="16.350000000000001" customHeight="1">
      <c r="A258" s="47" t="s">
        <v>188</v>
      </c>
      <c r="B258" s="5"/>
      <c r="C258" s="4"/>
      <c r="D258" s="35"/>
      <c r="E258" s="35"/>
      <c r="F258" s="35"/>
      <c r="G258" s="54"/>
    </row>
    <row r="259" spans="1:7" ht="16.350000000000001" customHeight="1">
      <c r="A259" s="43" t="s">
        <v>0</v>
      </c>
      <c r="B259" s="7" t="s">
        <v>1</v>
      </c>
      <c r="C259" s="8" t="s">
        <v>4</v>
      </c>
      <c r="D259" s="7" t="s">
        <v>2</v>
      </c>
      <c r="E259" s="7" t="s">
        <v>6</v>
      </c>
      <c r="F259" s="128" t="s">
        <v>7</v>
      </c>
      <c r="G259" s="129" t="s">
        <v>8</v>
      </c>
    </row>
    <row r="260" spans="1:7" ht="16.350000000000001" customHeight="1">
      <c r="A260" s="45">
        <v>1</v>
      </c>
      <c r="B260" s="120" t="s">
        <v>144</v>
      </c>
      <c r="C260" s="120" t="s">
        <v>53</v>
      </c>
      <c r="D260" s="9"/>
      <c r="E260" s="9"/>
      <c r="F260" s="130">
        <f>IF(E260="",0,IF(E260&gt;0,RANK(E260,E260:E281,1)))</f>
        <v>0</v>
      </c>
      <c r="G260" s="131">
        <f>VLOOKUP(F260,$L$3:$M$33,2,0)</f>
        <v>0</v>
      </c>
    </row>
    <row r="261" spans="1:7" ht="16.350000000000001" customHeight="1">
      <c r="A261" s="45">
        <v>2</v>
      </c>
      <c r="B261" s="126" t="s">
        <v>189</v>
      </c>
      <c r="C261" s="126" t="s">
        <v>190</v>
      </c>
      <c r="D261" s="9"/>
      <c r="E261" s="11"/>
      <c r="F261" s="130">
        <f>IF(E261="",0,IF(E261&gt;0,RANK(E261,E260:E281,1)))</f>
        <v>0</v>
      </c>
      <c r="G261" s="131">
        <f t="shared" ref="G261:G265" si="43">VLOOKUP(F261,$L$3:$M$33,2,0)</f>
        <v>0</v>
      </c>
    </row>
    <row r="262" spans="1:7" ht="16.350000000000001" customHeight="1">
      <c r="A262" s="45">
        <v>3</v>
      </c>
      <c r="B262" s="120" t="s">
        <v>191</v>
      </c>
      <c r="C262" s="120" t="s">
        <v>64</v>
      </c>
      <c r="D262" s="9"/>
      <c r="E262" s="11"/>
      <c r="F262" s="130">
        <f>IF(E262="",0,IF(E262&gt;0,RANK(E262,E260:E281,1)))</f>
        <v>0</v>
      </c>
      <c r="G262" s="131">
        <f t="shared" si="43"/>
        <v>0</v>
      </c>
    </row>
    <row r="263" spans="1:7" ht="16.350000000000001" customHeight="1">
      <c r="A263" s="45">
        <v>4</v>
      </c>
      <c r="B263" s="120" t="s">
        <v>192</v>
      </c>
      <c r="C263" s="120" t="s">
        <v>15</v>
      </c>
      <c r="D263" s="9"/>
      <c r="E263" s="11"/>
      <c r="F263" s="130">
        <f>IF(E263="",0,IF(E263&gt;0,RANK(E263,E260:E281,1)))</f>
        <v>0</v>
      </c>
      <c r="G263" s="131">
        <f t="shared" si="43"/>
        <v>0</v>
      </c>
    </row>
    <row r="264" spans="1:7" ht="16.350000000000001" customHeight="1">
      <c r="A264" s="45">
        <v>5</v>
      </c>
      <c r="B264" s="120" t="s">
        <v>37</v>
      </c>
      <c r="C264" s="120" t="s">
        <v>15</v>
      </c>
      <c r="D264" s="9"/>
      <c r="E264" s="11"/>
      <c r="F264" s="130">
        <f>IF(E264="",0,IF(E264&gt;0,RANK(E264,E260:E281,1)))</f>
        <v>0</v>
      </c>
      <c r="G264" s="131">
        <f t="shared" si="43"/>
        <v>0</v>
      </c>
    </row>
    <row r="265" spans="1:7" ht="16.350000000000001" customHeight="1">
      <c r="A265" s="45">
        <v>6</v>
      </c>
      <c r="B265" s="127" t="s">
        <v>193</v>
      </c>
      <c r="C265" s="120" t="s">
        <v>60</v>
      </c>
      <c r="D265" s="9"/>
      <c r="E265" s="11"/>
      <c r="F265" s="130">
        <f>IF(E265="",0,IF(E265&gt;0,RANK(E265,E260:E281,1)))</f>
        <v>0</v>
      </c>
      <c r="G265" s="131">
        <f t="shared" si="43"/>
        <v>0</v>
      </c>
    </row>
    <row r="266" spans="1:7" ht="16.350000000000001" customHeight="1">
      <c r="A266" s="47" t="s">
        <v>194</v>
      </c>
      <c r="B266" s="5"/>
      <c r="C266" s="4"/>
      <c r="D266" s="35"/>
      <c r="E266" s="35"/>
      <c r="F266" s="140"/>
      <c r="G266" s="141"/>
    </row>
    <row r="267" spans="1:7" ht="16.350000000000001" customHeight="1">
      <c r="A267" s="43" t="s">
        <v>0</v>
      </c>
      <c r="B267" s="7" t="s">
        <v>1</v>
      </c>
      <c r="C267" s="8" t="s">
        <v>4</v>
      </c>
      <c r="D267" s="7" t="s">
        <v>2</v>
      </c>
      <c r="E267" s="7" t="s">
        <v>6</v>
      </c>
      <c r="F267" s="128" t="s">
        <v>7</v>
      </c>
      <c r="G267" s="129" t="s">
        <v>8</v>
      </c>
    </row>
    <row r="268" spans="1:7" ht="16.350000000000001" customHeight="1">
      <c r="A268" s="45">
        <v>1</v>
      </c>
      <c r="B268" s="127" t="s">
        <v>196</v>
      </c>
      <c r="C268" s="120" t="s">
        <v>60</v>
      </c>
      <c r="D268" s="9"/>
      <c r="E268" s="9"/>
      <c r="F268" s="130">
        <f>IF(E268="",0,IF(E268&gt;0,RANK(E268,E260:E281,1)))</f>
        <v>0</v>
      </c>
      <c r="G268" s="131">
        <f>VLOOKUP(F268,$L$3:$M$33,2,0)</f>
        <v>0</v>
      </c>
    </row>
    <row r="269" spans="1:7" ht="16.350000000000001" customHeight="1">
      <c r="A269" s="45">
        <v>2</v>
      </c>
      <c r="B269" s="120" t="s">
        <v>197</v>
      </c>
      <c r="C269" s="120" t="s">
        <v>53</v>
      </c>
      <c r="D269" s="9"/>
      <c r="E269" s="11"/>
      <c r="F269" s="130">
        <f>IF(E269="",0,IF(E269&gt;0,RANK(E269,E260:E281,1)))</f>
        <v>0</v>
      </c>
      <c r="G269" s="131">
        <f t="shared" ref="G269:G273" si="44">VLOOKUP(F269,$L$3:$M$33,2,0)</f>
        <v>0</v>
      </c>
    </row>
    <row r="270" spans="1:7" ht="16.350000000000001" customHeight="1">
      <c r="A270" s="45">
        <v>3</v>
      </c>
      <c r="B270" s="120" t="s">
        <v>41</v>
      </c>
      <c r="C270" s="120" t="s">
        <v>53</v>
      </c>
      <c r="D270" s="9"/>
      <c r="E270" s="11"/>
      <c r="F270" s="130">
        <f>IF(E270="",0,IF(E270&gt;0,RANK(E270,E260:E281,1)))</f>
        <v>0</v>
      </c>
      <c r="G270" s="131">
        <f t="shared" si="44"/>
        <v>0</v>
      </c>
    </row>
    <row r="271" spans="1:7" ht="16.350000000000001" customHeight="1">
      <c r="A271" s="45">
        <v>4</v>
      </c>
      <c r="B271" s="137" t="s">
        <v>198</v>
      </c>
      <c r="C271" s="136" t="s">
        <v>71</v>
      </c>
      <c r="D271" s="9"/>
      <c r="E271" s="11"/>
      <c r="F271" s="130">
        <f>IF(E271="",0,IF(E271&gt;0,RANK(E271,E260:E281,1)))</f>
        <v>0</v>
      </c>
      <c r="G271" s="131">
        <f t="shared" si="44"/>
        <v>0</v>
      </c>
    </row>
    <row r="272" spans="1:7" ht="16.350000000000001" customHeight="1">
      <c r="A272" s="45">
        <v>5</v>
      </c>
      <c r="B272" s="127" t="s">
        <v>199</v>
      </c>
      <c r="C272" s="120" t="s">
        <v>73</v>
      </c>
      <c r="D272" s="9"/>
      <c r="E272" s="11"/>
      <c r="F272" s="130">
        <f>IF(E272="",0,IF(E272&gt;0,RANK(E272,E260:E281,1)))</f>
        <v>0</v>
      </c>
      <c r="G272" s="131">
        <f t="shared" si="44"/>
        <v>0</v>
      </c>
    </row>
    <row r="273" spans="1:7" ht="16.350000000000001" customHeight="1">
      <c r="A273" s="45">
        <v>6</v>
      </c>
      <c r="B273" s="120" t="s">
        <v>35</v>
      </c>
      <c r="C273" s="120" t="s">
        <v>58</v>
      </c>
      <c r="D273" s="9"/>
      <c r="E273" s="11"/>
      <c r="F273" s="130">
        <f>IF(E273="",0,IF(E273&gt;0,RANK(E273,E260:E281,1)))</f>
        <v>0</v>
      </c>
      <c r="G273" s="131">
        <f t="shared" si="44"/>
        <v>0</v>
      </c>
    </row>
    <row r="274" spans="1:7" ht="16.350000000000001" customHeight="1">
      <c r="A274" s="47" t="s">
        <v>195</v>
      </c>
      <c r="B274" s="5"/>
      <c r="C274" s="4"/>
      <c r="D274" s="35"/>
      <c r="E274" s="35"/>
      <c r="F274" s="140"/>
      <c r="G274" s="141"/>
    </row>
    <row r="275" spans="1:7" ht="16.350000000000001" customHeight="1">
      <c r="A275" s="43" t="s">
        <v>0</v>
      </c>
      <c r="B275" s="7" t="s">
        <v>1</v>
      </c>
      <c r="C275" s="8" t="s">
        <v>4</v>
      </c>
      <c r="D275" s="7" t="s">
        <v>2</v>
      </c>
      <c r="E275" s="7" t="s">
        <v>6</v>
      </c>
      <c r="F275" s="128" t="s">
        <v>7</v>
      </c>
      <c r="G275" s="129" t="s">
        <v>8</v>
      </c>
    </row>
    <row r="276" spans="1:7" ht="16.350000000000001" customHeight="1">
      <c r="A276" s="45">
        <v>1</v>
      </c>
      <c r="B276" s="120" t="s">
        <v>200</v>
      </c>
      <c r="C276" s="120" t="s">
        <v>201</v>
      </c>
      <c r="D276" s="9"/>
      <c r="E276" s="9"/>
      <c r="F276" s="130">
        <f>IF(E276="",0,IF(E276&gt;0,RANK(E276,E260:E281,1)))</f>
        <v>0</v>
      </c>
      <c r="G276" s="131">
        <f>VLOOKUP(F276,$L$3:$M$33,2,0)</f>
        <v>0</v>
      </c>
    </row>
    <row r="277" spans="1:7" ht="16.350000000000001" customHeight="1">
      <c r="A277" s="45">
        <v>2</v>
      </c>
      <c r="B277" s="120" t="s">
        <v>202</v>
      </c>
      <c r="C277" s="120" t="s">
        <v>56</v>
      </c>
      <c r="D277" s="9"/>
      <c r="E277" s="11"/>
      <c r="F277" s="130">
        <f>IF(E277="",0,IF(E277&gt;0,RANK(E277,E260:E281,1)))</f>
        <v>0</v>
      </c>
      <c r="G277" s="131">
        <f t="shared" ref="G277:G281" si="45">VLOOKUP(F277,$L$3:$M$33,2,0)</f>
        <v>0</v>
      </c>
    </row>
    <row r="278" spans="1:7" ht="16.350000000000001" customHeight="1">
      <c r="A278" s="45">
        <v>3</v>
      </c>
      <c r="B278" s="120" t="s">
        <v>203</v>
      </c>
      <c r="C278" s="120" t="s">
        <v>78</v>
      </c>
      <c r="D278" s="9"/>
      <c r="E278" s="11"/>
      <c r="F278" s="130">
        <f>IF(E278="",0,IF(E278&gt;0,RANK(E278,E260:E281,1)))</f>
        <v>0</v>
      </c>
      <c r="G278" s="131">
        <f t="shared" si="45"/>
        <v>0</v>
      </c>
    </row>
    <row r="279" spans="1:7" ht="16.350000000000001" customHeight="1">
      <c r="A279" s="45">
        <v>4</v>
      </c>
      <c r="B279" s="120" t="s">
        <v>204</v>
      </c>
      <c r="C279" s="120" t="s">
        <v>205</v>
      </c>
      <c r="D279" s="9"/>
      <c r="E279" s="11"/>
      <c r="F279" s="130">
        <f>IF(E279="",0,IF(E279&gt;0,RANK(E279,E260:E281,1)))</f>
        <v>0</v>
      </c>
      <c r="G279" s="131">
        <f t="shared" si="45"/>
        <v>0</v>
      </c>
    </row>
    <row r="280" spans="1:7" ht="16.350000000000001" customHeight="1">
      <c r="A280" s="45">
        <v>5</v>
      </c>
      <c r="B280" s="120" t="s">
        <v>206</v>
      </c>
      <c r="C280" s="120" t="s">
        <v>82</v>
      </c>
      <c r="D280" s="9"/>
      <c r="E280" s="11"/>
      <c r="F280" s="130">
        <f>IF(E280="",0,IF(E280&gt;0,RANK(E280,E260:E281,1)))</f>
        <v>0</v>
      </c>
      <c r="G280" s="131">
        <f t="shared" si="45"/>
        <v>0</v>
      </c>
    </row>
    <row r="281" spans="1:7" ht="16.350000000000001" customHeight="1">
      <c r="A281" s="45">
        <v>6</v>
      </c>
      <c r="B281" s="127" t="s">
        <v>207</v>
      </c>
      <c r="C281" s="120" t="s">
        <v>13</v>
      </c>
      <c r="D281" s="9"/>
      <c r="E281" s="11"/>
      <c r="F281" s="130">
        <f>IF(E281="",0,IF(E281&gt;0,RANK(E281,E260:E281,1)))</f>
        <v>0</v>
      </c>
      <c r="G281" s="131">
        <f t="shared" si="45"/>
        <v>0</v>
      </c>
    </row>
    <row r="282" spans="1:7" ht="16.350000000000001" customHeight="1">
      <c r="A282" s="47" t="s">
        <v>208</v>
      </c>
      <c r="B282" s="5"/>
      <c r="C282" s="4"/>
      <c r="D282" s="35"/>
      <c r="E282" s="35"/>
      <c r="F282" s="35"/>
      <c r="G282" s="54"/>
    </row>
    <row r="283" spans="1:7" ht="16.350000000000001" customHeight="1">
      <c r="A283" s="43" t="s">
        <v>0</v>
      </c>
      <c r="B283" s="7" t="s">
        <v>1</v>
      </c>
      <c r="C283" s="8" t="s">
        <v>4</v>
      </c>
      <c r="D283" s="7" t="s">
        <v>2</v>
      </c>
      <c r="E283" s="7" t="s">
        <v>6</v>
      </c>
      <c r="F283" s="128" t="s">
        <v>7</v>
      </c>
      <c r="G283" s="129" t="s">
        <v>8</v>
      </c>
    </row>
    <row r="284" spans="1:7" ht="16.350000000000001" customHeight="1">
      <c r="A284" s="45">
        <v>1</v>
      </c>
      <c r="B284" s="120"/>
      <c r="C284" s="120"/>
      <c r="D284" s="9"/>
      <c r="E284" s="9"/>
      <c r="F284" s="130">
        <f>IF(E284="",0,IF(E284&gt;0,RANK(E284,E284:E297,1)))</f>
        <v>0</v>
      </c>
      <c r="G284" s="131">
        <f>VLOOKUP(F284,$L$3:$M$33,2,0)</f>
        <v>0</v>
      </c>
    </row>
    <row r="285" spans="1:7" ht="16.350000000000001" customHeight="1">
      <c r="A285" s="45">
        <v>2</v>
      </c>
      <c r="B285" s="120" t="s">
        <v>210</v>
      </c>
      <c r="C285" s="120" t="s">
        <v>15</v>
      </c>
      <c r="D285" s="9"/>
      <c r="E285" s="11"/>
      <c r="F285" s="130">
        <f>IF(E285="",0,IF(E285&gt;0,RANK(E285,E284:E297,1)))</f>
        <v>0</v>
      </c>
      <c r="G285" s="131">
        <f t="shared" ref="G285:G289" si="46">VLOOKUP(F285,$L$3:$M$33,2,0)</f>
        <v>0</v>
      </c>
    </row>
    <row r="286" spans="1:7" ht="16.350000000000001" customHeight="1">
      <c r="A286" s="45">
        <v>3</v>
      </c>
      <c r="B286" s="127" t="s">
        <v>211</v>
      </c>
      <c r="C286" s="120" t="s">
        <v>14</v>
      </c>
      <c r="D286" s="9"/>
      <c r="E286" s="11"/>
      <c r="F286" s="130">
        <f>IF(E286="",0,IF(E286&gt;0,RANK(E286,E284:E297,1)))</f>
        <v>0</v>
      </c>
      <c r="G286" s="131">
        <f t="shared" si="46"/>
        <v>0</v>
      </c>
    </row>
    <row r="287" spans="1:7" ht="16.350000000000001" customHeight="1">
      <c r="A287" s="45">
        <v>4</v>
      </c>
      <c r="B287" s="134" t="s">
        <v>212</v>
      </c>
      <c r="C287" s="126" t="s">
        <v>190</v>
      </c>
      <c r="D287" s="9"/>
      <c r="E287" s="11"/>
      <c r="F287" s="130">
        <f>IF(E287="",0,IF(E287&gt;0,RANK(E287,E284:E297,1)))</f>
        <v>0</v>
      </c>
      <c r="G287" s="131">
        <f t="shared" si="46"/>
        <v>0</v>
      </c>
    </row>
    <row r="288" spans="1:7" ht="16.350000000000001" customHeight="1">
      <c r="A288" s="45">
        <v>5</v>
      </c>
      <c r="B288" s="120" t="s">
        <v>42</v>
      </c>
      <c r="C288" s="120" t="s">
        <v>53</v>
      </c>
      <c r="D288" s="9"/>
      <c r="E288" s="11"/>
      <c r="F288" s="130">
        <f>IF(E288="",0,IF(E288&gt;0,RANK(E288,E284:E297,1)))</f>
        <v>0</v>
      </c>
      <c r="G288" s="131">
        <f t="shared" si="46"/>
        <v>0</v>
      </c>
    </row>
    <row r="289" spans="1:11" ht="16.350000000000001" customHeight="1">
      <c r="A289" s="45">
        <v>6</v>
      </c>
      <c r="B289" s="127"/>
      <c r="C289" s="120"/>
      <c r="D289" s="9"/>
      <c r="E289" s="11"/>
      <c r="F289" s="130">
        <f>IF(E289="",0,IF(E289&gt;0,RANK(E289,E284:E297,1)))</f>
        <v>0</v>
      </c>
      <c r="G289" s="131">
        <f t="shared" si="46"/>
        <v>0</v>
      </c>
    </row>
    <row r="290" spans="1:11" ht="16.350000000000001" customHeight="1">
      <c r="A290" s="47" t="s">
        <v>209</v>
      </c>
      <c r="B290" s="5"/>
      <c r="C290" s="4"/>
      <c r="D290" s="35"/>
      <c r="E290" s="35"/>
      <c r="F290" s="140"/>
      <c r="G290" s="141"/>
    </row>
    <row r="291" spans="1:11" ht="16.350000000000001" customHeight="1">
      <c r="A291" s="43" t="s">
        <v>0</v>
      </c>
      <c r="B291" s="7" t="s">
        <v>1</v>
      </c>
      <c r="C291" s="8" t="s">
        <v>4</v>
      </c>
      <c r="D291" s="7" t="s">
        <v>2</v>
      </c>
      <c r="E291" s="7" t="s">
        <v>6</v>
      </c>
      <c r="F291" s="128" t="s">
        <v>7</v>
      </c>
      <c r="G291" s="129" t="s">
        <v>8</v>
      </c>
    </row>
    <row r="292" spans="1:11" ht="16.350000000000001" customHeight="1">
      <c r="A292" s="45">
        <v>1</v>
      </c>
      <c r="B292" s="120"/>
      <c r="C292" s="120"/>
      <c r="D292" s="9"/>
      <c r="E292" s="9"/>
      <c r="F292" s="130">
        <f>IF(E292="",0,IF(E292&gt;0,RANK(E292,E284:E297,1)))</f>
        <v>0</v>
      </c>
      <c r="G292" s="131">
        <f>VLOOKUP(F292,$L$3:$M$33,2,0)</f>
        <v>0</v>
      </c>
    </row>
    <row r="293" spans="1:11" ht="16.350000000000001" customHeight="1">
      <c r="A293" s="45">
        <v>2</v>
      </c>
      <c r="B293" s="120" t="s">
        <v>36</v>
      </c>
      <c r="C293" s="120" t="s">
        <v>53</v>
      </c>
      <c r="D293" s="9"/>
      <c r="E293" s="11"/>
      <c r="F293" s="130">
        <f>IF(E293="",0,IF(E293&gt;0,RANK(E293,E284:E297,1)))</f>
        <v>0</v>
      </c>
      <c r="G293" s="131">
        <f t="shared" ref="G293:G297" si="47">VLOOKUP(F293,$L$3:$M$33,2,0)</f>
        <v>0</v>
      </c>
    </row>
    <row r="294" spans="1:11" ht="16.350000000000001" customHeight="1">
      <c r="A294" s="45">
        <v>3</v>
      </c>
      <c r="B294" s="120" t="s">
        <v>39</v>
      </c>
      <c r="C294" s="120" t="s">
        <v>58</v>
      </c>
      <c r="D294" s="9"/>
      <c r="E294" s="11"/>
      <c r="F294" s="130">
        <f>IF(E294="",0,IF(E294&gt;0,RANK(E294,E284:E297,1)))</f>
        <v>0</v>
      </c>
      <c r="G294" s="131">
        <f t="shared" si="47"/>
        <v>0</v>
      </c>
    </row>
    <row r="295" spans="1:11" ht="16.350000000000001" customHeight="1">
      <c r="A295" s="45">
        <v>4</v>
      </c>
      <c r="B295" s="120" t="s">
        <v>213</v>
      </c>
      <c r="C295" s="120" t="s">
        <v>56</v>
      </c>
      <c r="D295" s="9"/>
      <c r="E295" s="11"/>
      <c r="F295" s="130">
        <f>IF(E295="",0,IF(E295&gt;0,RANK(E295,E284:E297,1)))</f>
        <v>0</v>
      </c>
      <c r="G295" s="131">
        <f t="shared" si="47"/>
        <v>0</v>
      </c>
    </row>
    <row r="296" spans="1:11" ht="16.350000000000001" customHeight="1">
      <c r="A296" s="45">
        <v>5</v>
      </c>
      <c r="B296" s="120" t="s">
        <v>40</v>
      </c>
      <c r="C296" s="120" t="s">
        <v>56</v>
      </c>
      <c r="D296" s="9"/>
      <c r="E296" s="11"/>
      <c r="F296" s="130">
        <f>IF(E296="",0,IF(E296&gt;0,RANK(E296,E284:E297,1)))</f>
        <v>0</v>
      </c>
      <c r="G296" s="131">
        <f t="shared" si="47"/>
        <v>0</v>
      </c>
    </row>
    <row r="297" spans="1:11" ht="16.350000000000001" customHeight="1">
      <c r="A297" s="45">
        <v>6</v>
      </c>
      <c r="B297" s="127"/>
      <c r="C297" s="120"/>
      <c r="D297" s="9"/>
      <c r="E297" s="11"/>
      <c r="F297" s="130">
        <f>IF(E297="",0,IF(E297&gt;0,RANK(E297,E284:E297,1)))</f>
        <v>0</v>
      </c>
      <c r="G297" s="131">
        <f t="shared" si="47"/>
        <v>0</v>
      </c>
    </row>
    <row r="298" spans="1:11" ht="16.350000000000001" customHeight="1">
      <c r="A298" s="47" t="s">
        <v>214</v>
      </c>
      <c r="B298" s="5"/>
      <c r="C298" s="4"/>
      <c r="G298" s="48"/>
    </row>
    <row r="299" spans="1:11" ht="16.350000000000001" customHeight="1">
      <c r="A299" s="43" t="s">
        <v>0</v>
      </c>
      <c r="B299" s="7" t="s">
        <v>1</v>
      </c>
      <c r="C299" s="8" t="s">
        <v>4</v>
      </c>
      <c r="D299" s="7" t="s">
        <v>2</v>
      </c>
      <c r="E299" s="7" t="s">
        <v>6</v>
      </c>
      <c r="F299" s="7" t="s">
        <v>7</v>
      </c>
      <c r="G299" s="44" t="s">
        <v>8</v>
      </c>
    </row>
    <row r="300" spans="1:11" ht="16.350000000000001" customHeight="1">
      <c r="A300" s="45">
        <v>1</v>
      </c>
      <c r="B300" s="120"/>
      <c r="C300" s="120"/>
      <c r="D300" s="9"/>
      <c r="E300" s="9"/>
      <c r="F300" s="10">
        <f>IF(E300="",0,IF(E300&gt;0,RANK(E300,E300:E305,1)))</f>
        <v>0</v>
      </c>
      <c r="G300" s="46">
        <f>VLOOKUP(F300,$L$3:$M$33,2,0)</f>
        <v>0</v>
      </c>
      <c r="H300" s="31">
        <v>751113</v>
      </c>
      <c r="I300" s="101"/>
      <c r="J300" s="101"/>
      <c r="K300" s="101"/>
    </row>
    <row r="301" spans="1:11" ht="16.350000000000001" customHeight="1">
      <c r="A301" s="45">
        <v>2</v>
      </c>
      <c r="B301" s="120" t="s">
        <v>156</v>
      </c>
      <c r="C301" s="120" t="s">
        <v>53</v>
      </c>
      <c r="D301" s="9"/>
      <c r="E301" s="9"/>
      <c r="F301" s="10">
        <f>IF(E301="",0,IF(E301&gt;0,RANK(E301,E300:E305,1)))</f>
        <v>0</v>
      </c>
      <c r="G301" s="46">
        <f t="shared" ref="G301:G305" si="48">VLOOKUP(F301,$L$3:$M$33,2,0)</f>
        <v>0</v>
      </c>
      <c r="H301" s="31"/>
      <c r="I301" s="101"/>
      <c r="J301" s="101"/>
      <c r="K301" s="101"/>
    </row>
    <row r="302" spans="1:11" ht="16.350000000000001" customHeight="1">
      <c r="A302" s="45">
        <v>3</v>
      </c>
      <c r="B302" s="127" t="s">
        <v>157</v>
      </c>
      <c r="C302" s="120" t="s">
        <v>84</v>
      </c>
      <c r="D302" s="9"/>
      <c r="E302" s="11"/>
      <c r="F302" s="10">
        <f>IF(E302="",0,IF(E302&gt;0,RANK(E302,E300:E305,1)))</f>
        <v>0</v>
      </c>
      <c r="G302" s="46">
        <f t="shared" si="48"/>
        <v>0</v>
      </c>
      <c r="H302" s="31">
        <v>741010</v>
      </c>
      <c r="I302" s="101"/>
      <c r="J302" s="101"/>
      <c r="K302" s="101"/>
    </row>
    <row r="303" spans="1:11" ht="16.350000000000001" customHeight="1">
      <c r="A303" s="45">
        <v>4</v>
      </c>
      <c r="B303" s="126" t="s">
        <v>215</v>
      </c>
      <c r="C303" s="126" t="s">
        <v>190</v>
      </c>
      <c r="D303" s="9"/>
      <c r="E303" s="9"/>
      <c r="F303" s="10">
        <f>IF(E303="",0,IF(E303&gt;0,RANK(E303,E300:E305,1)))</f>
        <v>0</v>
      </c>
      <c r="G303" s="46">
        <f t="shared" si="48"/>
        <v>0</v>
      </c>
      <c r="H303" s="31">
        <v>700217</v>
      </c>
      <c r="I303" s="101"/>
      <c r="J303" s="101"/>
      <c r="K303" s="101"/>
    </row>
    <row r="304" spans="1:11" ht="16.350000000000001" customHeight="1">
      <c r="A304" s="45">
        <v>5</v>
      </c>
      <c r="B304" s="120" t="s">
        <v>43</v>
      </c>
      <c r="C304" s="120" t="s">
        <v>216</v>
      </c>
      <c r="D304" s="9"/>
      <c r="E304" s="11"/>
      <c r="F304" s="10">
        <f>IF(E304="",0,IF(E304&gt;0,RANK(E304,E300:E305,1)))</f>
        <v>0</v>
      </c>
      <c r="G304" s="46">
        <f t="shared" si="48"/>
        <v>0</v>
      </c>
      <c r="H304" s="31">
        <v>730122</v>
      </c>
      <c r="I304" s="101"/>
      <c r="J304" s="101"/>
      <c r="K304" s="101"/>
    </row>
    <row r="305" spans="1:9" ht="16.350000000000001" customHeight="1">
      <c r="A305" s="55">
        <v>6</v>
      </c>
      <c r="B305" s="92"/>
      <c r="C305" s="92"/>
      <c r="D305" s="9"/>
      <c r="E305" s="11"/>
      <c r="F305" s="10">
        <f>IF(E305="",0,IF(E305&gt;0,RANK(E305,E300:E305,1)))</f>
        <v>0</v>
      </c>
      <c r="G305" s="46">
        <f t="shared" si="48"/>
        <v>0</v>
      </c>
    </row>
    <row r="306" spans="1:9" ht="16.350000000000001" customHeight="1">
      <c r="A306" s="47" t="s">
        <v>217</v>
      </c>
      <c r="B306" s="5"/>
      <c r="C306" s="4"/>
      <c r="G306" s="48"/>
    </row>
    <row r="307" spans="1:9" ht="16.350000000000001" customHeight="1">
      <c r="A307" s="43" t="s">
        <v>0</v>
      </c>
      <c r="B307" s="7" t="s">
        <v>1</v>
      </c>
      <c r="C307" s="8" t="s">
        <v>4</v>
      </c>
      <c r="D307" s="7" t="s">
        <v>2</v>
      </c>
      <c r="E307" s="7" t="s">
        <v>6</v>
      </c>
      <c r="F307" s="128" t="s">
        <v>7</v>
      </c>
      <c r="G307" s="129" t="s">
        <v>8</v>
      </c>
    </row>
    <row r="308" spans="1:9" ht="16.350000000000001" customHeight="1">
      <c r="A308" s="45">
        <v>1</v>
      </c>
      <c r="B308" s="120" t="s">
        <v>27</v>
      </c>
      <c r="C308" s="120" t="s">
        <v>60</v>
      </c>
      <c r="D308" s="9"/>
      <c r="E308" s="9"/>
      <c r="F308" s="130">
        <f>IF(E308="",0,IF(E308&gt;0,RANK(E308,E308:E321,1)))</f>
        <v>0</v>
      </c>
      <c r="G308" s="131">
        <f>VLOOKUP(F308,$L$3:$M$33,2,0)</f>
        <v>0</v>
      </c>
    </row>
    <row r="309" spans="1:9" ht="16.350000000000001" customHeight="1">
      <c r="A309" s="45">
        <v>2</v>
      </c>
      <c r="B309" s="120" t="s">
        <v>95</v>
      </c>
      <c r="C309" s="120" t="s">
        <v>60</v>
      </c>
      <c r="D309" s="9"/>
      <c r="E309" s="9"/>
      <c r="F309" s="130">
        <f>IF(E309="",0,IF(E309&gt;0,RANK(E309,E308:E321,1)))</f>
        <v>0</v>
      </c>
      <c r="G309" s="131">
        <f t="shared" ref="G309:G313" si="49">VLOOKUP(F309,$L$3:$M$33,2,0)</f>
        <v>0</v>
      </c>
    </row>
    <row r="310" spans="1:9" ht="16.350000000000001" customHeight="1">
      <c r="A310" s="45">
        <v>3</v>
      </c>
      <c r="B310" s="120" t="s">
        <v>162</v>
      </c>
      <c r="C310" s="120" t="s">
        <v>53</v>
      </c>
      <c r="D310" s="9"/>
      <c r="E310" s="11"/>
      <c r="F310" s="130">
        <f>IF(E310="",0,IF(E310&gt;0,RANK(E310,E308:E321,1)))</f>
        <v>0</v>
      </c>
      <c r="G310" s="131">
        <f t="shared" si="49"/>
        <v>0</v>
      </c>
    </row>
    <row r="311" spans="1:9" ht="16.350000000000001" customHeight="1">
      <c r="A311" s="45">
        <v>4</v>
      </c>
      <c r="B311" s="120" t="s">
        <v>219</v>
      </c>
      <c r="C311" s="120" t="s">
        <v>15</v>
      </c>
      <c r="D311" s="9"/>
      <c r="E311" s="9"/>
      <c r="F311" s="130">
        <f>IF(E311="",0,IF(E311&gt;0,RANK(E311,E308:E321,1)))</f>
        <v>0</v>
      </c>
      <c r="G311" s="131">
        <f t="shared" si="49"/>
        <v>0</v>
      </c>
    </row>
    <row r="312" spans="1:9" ht="16.350000000000001" customHeight="1">
      <c r="A312" s="45">
        <v>5</v>
      </c>
      <c r="B312" s="120" t="s">
        <v>220</v>
      </c>
      <c r="C312" s="120" t="s">
        <v>53</v>
      </c>
      <c r="D312" s="9"/>
      <c r="E312" s="11"/>
      <c r="F312" s="130">
        <f>IF(E312="",0,IF(E312&gt;0,RANK(E312,E308:E321,1)))</f>
        <v>0</v>
      </c>
      <c r="G312" s="131">
        <f t="shared" si="49"/>
        <v>0</v>
      </c>
    </row>
    <row r="313" spans="1:9" ht="16.350000000000001" customHeight="1">
      <c r="A313" s="55">
        <v>6</v>
      </c>
      <c r="B313" s="92"/>
      <c r="C313" s="92"/>
      <c r="D313" s="9"/>
      <c r="E313" s="11"/>
      <c r="F313" s="130">
        <f>IF(E313="",0,IF(E313&gt;0,RANK(E313,E308:E321,1)))</f>
        <v>0</v>
      </c>
      <c r="G313" s="131">
        <f t="shared" si="49"/>
        <v>0</v>
      </c>
    </row>
    <row r="314" spans="1:9" ht="16.350000000000001" customHeight="1">
      <c r="A314" s="47" t="s">
        <v>218</v>
      </c>
      <c r="B314" s="5"/>
      <c r="C314" s="6"/>
      <c r="F314" s="133"/>
      <c r="G314" s="132"/>
    </row>
    <row r="315" spans="1:9" ht="16.350000000000001" customHeight="1">
      <c r="A315" s="43" t="s">
        <v>0</v>
      </c>
      <c r="B315" s="7" t="s">
        <v>1</v>
      </c>
      <c r="C315" s="8" t="s">
        <v>4</v>
      </c>
      <c r="D315" s="7" t="s">
        <v>2</v>
      </c>
      <c r="E315" s="7" t="s">
        <v>6</v>
      </c>
      <c r="F315" s="128" t="s">
        <v>7</v>
      </c>
      <c r="G315" s="129" t="s">
        <v>8</v>
      </c>
      <c r="I315" s="110"/>
    </row>
    <row r="316" spans="1:9" ht="16.350000000000001" customHeight="1">
      <c r="A316" s="45">
        <v>1</v>
      </c>
      <c r="B316" s="120" t="s">
        <v>243</v>
      </c>
      <c r="C316" s="120" t="s">
        <v>56</v>
      </c>
      <c r="D316" s="15"/>
      <c r="E316" s="11"/>
      <c r="F316" s="130">
        <f>IF(E316="",0,IF(E316&gt;0,RANK(E316,$E$308:$E$321,1)))</f>
        <v>0</v>
      </c>
      <c r="G316" s="131">
        <f>VLOOKUP(F316,$L$3:$M$33,2,0)</f>
        <v>0</v>
      </c>
      <c r="I316" s="110"/>
    </row>
    <row r="317" spans="1:9" ht="16.350000000000001" customHeight="1">
      <c r="A317" s="45">
        <v>2</v>
      </c>
      <c r="B317" s="120" t="s">
        <v>221</v>
      </c>
      <c r="C317" s="120" t="s">
        <v>53</v>
      </c>
      <c r="D317" s="15"/>
      <c r="E317" s="11"/>
      <c r="F317" s="130">
        <f t="shared" ref="F317:F321" si="50">IF(E317="",0,IF(E317&gt;0,RANK(E317,$E$308:$E$321,1)))</f>
        <v>0</v>
      </c>
      <c r="G317" s="131">
        <f t="shared" ref="G317:G321" si="51">VLOOKUP(F317,$L$3:$M$33,2,0)</f>
        <v>0</v>
      </c>
      <c r="I317" s="110"/>
    </row>
    <row r="318" spans="1:9" ht="16.350000000000001" customHeight="1">
      <c r="A318" s="45">
        <v>3</v>
      </c>
      <c r="B318" s="120" t="s">
        <v>25</v>
      </c>
      <c r="C318" s="120" t="s">
        <v>56</v>
      </c>
      <c r="D318" s="15"/>
      <c r="E318" s="11"/>
      <c r="F318" s="130">
        <f t="shared" si="50"/>
        <v>0</v>
      </c>
      <c r="G318" s="131">
        <f t="shared" si="51"/>
        <v>0</v>
      </c>
      <c r="I318" s="110"/>
    </row>
    <row r="319" spans="1:9" ht="16.350000000000001" customHeight="1">
      <c r="A319" s="45">
        <v>4</v>
      </c>
      <c r="B319" s="120" t="s">
        <v>222</v>
      </c>
      <c r="C319" s="120" t="s">
        <v>56</v>
      </c>
      <c r="D319" s="15"/>
      <c r="E319" s="11"/>
      <c r="F319" s="130">
        <f t="shared" si="50"/>
        <v>0</v>
      </c>
      <c r="G319" s="131">
        <f t="shared" si="51"/>
        <v>0</v>
      </c>
      <c r="I319" s="110"/>
    </row>
    <row r="320" spans="1:9" ht="16.350000000000001" customHeight="1">
      <c r="A320" s="45">
        <v>5</v>
      </c>
      <c r="B320" s="120" t="s">
        <v>223</v>
      </c>
      <c r="C320" s="120" t="s">
        <v>13</v>
      </c>
      <c r="D320" s="33"/>
      <c r="E320" s="11"/>
      <c r="F320" s="130">
        <f t="shared" si="50"/>
        <v>0</v>
      </c>
      <c r="G320" s="131">
        <f t="shared" si="51"/>
        <v>0</v>
      </c>
      <c r="I320" s="110"/>
    </row>
    <row r="321" spans="1:9" ht="16.350000000000001" customHeight="1">
      <c r="A321" s="45">
        <v>6</v>
      </c>
      <c r="B321" s="85"/>
      <c r="C321" s="85"/>
      <c r="D321" s="22"/>
      <c r="E321" s="11"/>
      <c r="F321" s="130">
        <f t="shared" si="50"/>
        <v>0</v>
      </c>
      <c r="G321" s="131">
        <f t="shared" si="51"/>
        <v>0</v>
      </c>
      <c r="I321" s="110"/>
    </row>
    <row r="322" spans="1:9" ht="16.350000000000001" customHeight="1">
      <c r="A322" s="47" t="s">
        <v>224</v>
      </c>
      <c r="B322" s="5"/>
      <c r="C322" s="6"/>
      <c r="G322" s="48"/>
      <c r="I322" s="110"/>
    </row>
    <row r="323" spans="1:9" ht="16.350000000000001" customHeight="1">
      <c r="A323" s="43" t="s">
        <v>0</v>
      </c>
      <c r="B323" s="7" t="s">
        <v>1</v>
      </c>
      <c r="C323" s="8" t="s">
        <v>4</v>
      </c>
      <c r="D323" s="7" t="s">
        <v>2</v>
      </c>
      <c r="E323" s="7" t="s">
        <v>6</v>
      </c>
      <c r="F323" s="128" t="s">
        <v>7</v>
      </c>
      <c r="G323" s="129" t="s">
        <v>8</v>
      </c>
      <c r="I323" s="110"/>
    </row>
    <row r="324" spans="1:9" ht="16.350000000000001" customHeight="1">
      <c r="A324" s="45">
        <v>1</v>
      </c>
      <c r="B324" s="120" t="s">
        <v>257</v>
      </c>
      <c r="C324" s="120" t="s">
        <v>56</v>
      </c>
      <c r="D324" s="9"/>
      <c r="E324" s="9"/>
      <c r="F324" s="130">
        <f>IF(E324="",0,IF(E324&gt;0,RANK(E324,$E$324:$E$337,1)))</f>
        <v>0</v>
      </c>
      <c r="G324" s="131">
        <f>VLOOKUP(F324,$L$3:$M$33,2,0)</f>
        <v>0</v>
      </c>
      <c r="I324" s="110"/>
    </row>
    <row r="325" spans="1:9" ht="16.350000000000001" customHeight="1">
      <c r="A325" s="45">
        <v>2</v>
      </c>
      <c r="B325" s="126" t="s">
        <v>97</v>
      </c>
      <c r="C325" s="126" t="s">
        <v>113</v>
      </c>
      <c r="D325" s="9"/>
      <c r="E325" s="9"/>
      <c r="F325" s="130">
        <f t="shared" ref="F325:F329" si="52">IF(E325="",0,IF(E325&gt;0,RANK(E325,$E$324:$E$337,1)))</f>
        <v>0</v>
      </c>
      <c r="G325" s="131">
        <f t="shared" ref="G325:G329" si="53">VLOOKUP(F325,$L$3:$M$33,2,0)</f>
        <v>0</v>
      </c>
      <c r="I325" s="110"/>
    </row>
    <row r="326" spans="1:9" ht="16.350000000000001" customHeight="1">
      <c r="A326" s="45">
        <v>3</v>
      </c>
      <c r="B326" s="120" t="s">
        <v>165</v>
      </c>
      <c r="C326" s="120" t="s">
        <v>60</v>
      </c>
      <c r="D326" s="9"/>
      <c r="E326" s="9"/>
      <c r="F326" s="130">
        <f t="shared" si="52"/>
        <v>0</v>
      </c>
      <c r="G326" s="131">
        <f t="shared" si="53"/>
        <v>0</v>
      </c>
      <c r="I326" s="110"/>
    </row>
    <row r="327" spans="1:9" ht="16.350000000000001" customHeight="1">
      <c r="A327" s="45">
        <v>4</v>
      </c>
      <c r="B327" s="120" t="s">
        <v>100</v>
      </c>
      <c r="C327" s="120" t="s">
        <v>53</v>
      </c>
      <c r="D327" s="9"/>
      <c r="E327" s="9"/>
      <c r="F327" s="130">
        <f t="shared" si="52"/>
        <v>0</v>
      </c>
      <c r="G327" s="131">
        <f t="shared" si="53"/>
        <v>0</v>
      </c>
      <c r="I327" s="110"/>
    </row>
    <row r="328" spans="1:9" ht="16.350000000000001" customHeight="1">
      <c r="A328" s="45">
        <v>5</v>
      </c>
      <c r="B328" s="120" t="s">
        <v>166</v>
      </c>
      <c r="C328" s="120" t="s">
        <v>53</v>
      </c>
      <c r="D328" s="9"/>
      <c r="E328" s="9"/>
      <c r="F328" s="130">
        <f t="shared" si="52"/>
        <v>0</v>
      </c>
      <c r="G328" s="131">
        <f t="shared" si="53"/>
        <v>0</v>
      </c>
      <c r="I328" s="110"/>
    </row>
    <row r="329" spans="1:9" ht="16.350000000000001" customHeight="1">
      <c r="A329" s="45">
        <v>6</v>
      </c>
      <c r="B329" s="23"/>
      <c r="C329" s="91"/>
      <c r="D329" s="9"/>
      <c r="E329" s="9"/>
      <c r="F329" s="130">
        <f t="shared" si="52"/>
        <v>0</v>
      </c>
      <c r="G329" s="131">
        <f t="shared" si="53"/>
        <v>0</v>
      </c>
      <c r="I329" s="110"/>
    </row>
    <row r="330" spans="1:9" ht="16.350000000000001" customHeight="1">
      <c r="A330" s="47" t="s">
        <v>225</v>
      </c>
      <c r="B330" s="5"/>
      <c r="C330" s="4"/>
      <c r="F330" s="133"/>
      <c r="G330" s="132"/>
    </row>
    <row r="331" spans="1:9" ht="16.350000000000001" customHeight="1">
      <c r="A331" s="43" t="s">
        <v>0</v>
      </c>
      <c r="B331" s="7" t="s">
        <v>1</v>
      </c>
      <c r="C331" s="8" t="s">
        <v>4</v>
      </c>
      <c r="D331" s="7" t="s">
        <v>2</v>
      </c>
      <c r="E331" s="7" t="s">
        <v>6</v>
      </c>
      <c r="F331" s="128" t="s">
        <v>7</v>
      </c>
      <c r="G331" s="129" t="s">
        <v>8</v>
      </c>
      <c r="I331" s="110"/>
    </row>
    <row r="332" spans="1:9" ht="16.350000000000001" customHeight="1">
      <c r="A332" s="45">
        <v>1</v>
      </c>
      <c r="B332" s="120" t="s">
        <v>106</v>
      </c>
      <c r="C332" s="120" t="s">
        <v>53</v>
      </c>
      <c r="D332" s="15"/>
      <c r="E332" s="9"/>
      <c r="F332" s="130">
        <f>IF(E332="",0,IF(E332&gt;0,RANK(E332,$E$324:$E$337,1)))</f>
        <v>0</v>
      </c>
      <c r="G332" s="131">
        <f>VLOOKUP(F332,$L$3:$M$33,2,0)</f>
        <v>0</v>
      </c>
      <c r="I332" s="110"/>
    </row>
    <row r="333" spans="1:9" ht="16.350000000000001" customHeight="1">
      <c r="A333" s="45">
        <v>2</v>
      </c>
      <c r="B333" s="120" t="s">
        <v>226</v>
      </c>
      <c r="C333" s="120" t="s">
        <v>15</v>
      </c>
      <c r="D333" s="15"/>
      <c r="E333" s="9"/>
      <c r="F333" s="130">
        <f t="shared" ref="F333:F337" si="54">IF(E333="",0,IF(E333&gt;0,RANK(E333,$E$324:$E$337,1)))</f>
        <v>0</v>
      </c>
      <c r="G333" s="131">
        <f t="shared" ref="G333:G337" si="55">VLOOKUP(F333,$L$3:$M$33,2,0)</f>
        <v>0</v>
      </c>
      <c r="I333" s="110"/>
    </row>
    <row r="334" spans="1:9" ht="16.350000000000001" customHeight="1">
      <c r="A334" s="45">
        <v>3</v>
      </c>
      <c r="B334" s="136" t="s">
        <v>227</v>
      </c>
      <c r="C334" s="136" t="s">
        <v>71</v>
      </c>
      <c r="D334" s="15"/>
      <c r="E334" s="9"/>
      <c r="F334" s="130">
        <f t="shared" si="54"/>
        <v>0</v>
      </c>
      <c r="G334" s="131">
        <f t="shared" si="55"/>
        <v>0</v>
      </c>
      <c r="I334" s="110"/>
    </row>
    <row r="335" spans="1:9" ht="16.350000000000001" customHeight="1">
      <c r="A335" s="45">
        <v>4</v>
      </c>
      <c r="B335" s="137" t="s">
        <v>228</v>
      </c>
      <c r="C335" s="136" t="s">
        <v>71</v>
      </c>
      <c r="D335" s="15"/>
      <c r="E335" s="9"/>
      <c r="F335" s="130">
        <f t="shared" si="54"/>
        <v>0</v>
      </c>
      <c r="G335" s="131">
        <f t="shared" si="55"/>
        <v>0</v>
      </c>
      <c r="I335" s="110"/>
    </row>
    <row r="336" spans="1:9" ht="16.350000000000001" customHeight="1">
      <c r="A336" s="45">
        <v>5</v>
      </c>
      <c r="B336" s="120" t="s">
        <v>45</v>
      </c>
      <c r="C336" s="120" t="s">
        <v>56</v>
      </c>
      <c r="D336" s="15"/>
      <c r="E336" s="9"/>
      <c r="F336" s="130">
        <f t="shared" si="54"/>
        <v>0</v>
      </c>
      <c r="G336" s="131">
        <f t="shared" si="55"/>
        <v>0</v>
      </c>
      <c r="I336" s="110"/>
    </row>
    <row r="337" spans="1:9" ht="16.350000000000001" customHeight="1">
      <c r="A337" s="45">
        <v>6</v>
      </c>
      <c r="B337" s="85"/>
      <c r="C337" s="85"/>
      <c r="D337" s="15"/>
      <c r="E337" s="9"/>
      <c r="F337" s="130">
        <f t="shared" si="54"/>
        <v>0</v>
      </c>
      <c r="G337" s="131">
        <f t="shared" si="55"/>
        <v>0</v>
      </c>
      <c r="I337" s="110"/>
    </row>
    <row r="338" spans="1:9" ht="16.350000000000001" customHeight="1">
      <c r="A338" s="47" t="s">
        <v>229</v>
      </c>
      <c r="B338" s="5"/>
      <c r="C338" s="4"/>
      <c r="G338" s="48"/>
      <c r="I338" s="110"/>
    </row>
    <row r="339" spans="1:9" ht="16.350000000000001" customHeight="1">
      <c r="A339" s="43" t="s">
        <v>0</v>
      </c>
      <c r="B339" s="7" t="s">
        <v>1</v>
      </c>
      <c r="C339" s="8" t="s">
        <v>4</v>
      </c>
      <c r="D339" s="7" t="s">
        <v>2</v>
      </c>
      <c r="E339" s="7" t="s">
        <v>6</v>
      </c>
      <c r="F339" s="128" t="s">
        <v>7</v>
      </c>
      <c r="G339" s="129" t="s">
        <v>8</v>
      </c>
      <c r="I339" s="110"/>
    </row>
    <row r="340" spans="1:9" ht="16.350000000000001" customHeight="1">
      <c r="A340" s="45">
        <v>1</v>
      </c>
      <c r="B340" s="120" t="s">
        <v>173</v>
      </c>
      <c r="C340" s="120" t="s">
        <v>60</v>
      </c>
      <c r="D340" s="15"/>
      <c r="E340" s="9"/>
      <c r="F340" s="130">
        <f>IF(E340="",0,IF(E340&gt;0,RANK(E340,$E$340:$E$353,1)))</f>
        <v>0</v>
      </c>
      <c r="G340" s="131">
        <f>VLOOKUP(F340,$L$3:$M$33,2,0)</f>
        <v>0</v>
      </c>
      <c r="I340" s="110"/>
    </row>
    <row r="341" spans="1:9" ht="16.350000000000001" customHeight="1">
      <c r="A341" s="45">
        <v>2</v>
      </c>
      <c r="B341" s="120" t="s">
        <v>32</v>
      </c>
      <c r="C341" s="120" t="s">
        <v>53</v>
      </c>
      <c r="D341" s="15"/>
      <c r="E341" s="9"/>
      <c r="F341" s="130">
        <f t="shared" ref="F341:F345" si="56">IF(E341="",0,IF(E341&gt;0,RANK(E341,$E$340:$E$353,1)))</f>
        <v>0</v>
      </c>
      <c r="G341" s="131">
        <f t="shared" ref="G341:G345" si="57">VLOOKUP(F341,$L$3:$M$33,2,0)</f>
        <v>0</v>
      </c>
      <c r="I341" s="110"/>
    </row>
    <row r="342" spans="1:9" ht="16.350000000000001" customHeight="1">
      <c r="A342" s="45">
        <v>3</v>
      </c>
      <c r="B342" s="120" t="s">
        <v>110</v>
      </c>
      <c r="C342" s="120" t="s">
        <v>53</v>
      </c>
      <c r="D342" s="15"/>
      <c r="E342" s="9"/>
      <c r="F342" s="130">
        <f t="shared" si="56"/>
        <v>0</v>
      </c>
      <c r="G342" s="131">
        <f t="shared" si="57"/>
        <v>0</v>
      </c>
      <c r="I342" s="110"/>
    </row>
    <row r="343" spans="1:9" ht="16.350000000000001" customHeight="1">
      <c r="A343" s="45">
        <v>4</v>
      </c>
      <c r="B343" s="136" t="s">
        <v>231</v>
      </c>
      <c r="C343" s="136" t="s">
        <v>71</v>
      </c>
      <c r="D343" s="15"/>
      <c r="E343" s="9"/>
      <c r="F343" s="130">
        <f t="shared" si="56"/>
        <v>0</v>
      </c>
      <c r="G343" s="131">
        <f t="shared" si="57"/>
        <v>0</v>
      </c>
      <c r="I343" s="110"/>
    </row>
    <row r="344" spans="1:9" ht="16.350000000000001" customHeight="1">
      <c r="A344" s="45">
        <v>5</v>
      </c>
      <c r="B344" s="120" t="s">
        <v>232</v>
      </c>
      <c r="C344" s="120" t="s">
        <v>58</v>
      </c>
      <c r="D344" s="15"/>
      <c r="E344" s="9"/>
      <c r="F344" s="130">
        <f t="shared" si="56"/>
        <v>0</v>
      </c>
      <c r="G344" s="131">
        <f t="shared" si="57"/>
        <v>0</v>
      </c>
      <c r="I344" s="110"/>
    </row>
    <row r="345" spans="1:9" ht="16.350000000000001" customHeight="1">
      <c r="A345" s="45">
        <v>6</v>
      </c>
      <c r="B345" s="120" t="s">
        <v>233</v>
      </c>
      <c r="C345" s="120" t="s">
        <v>60</v>
      </c>
      <c r="D345" s="15"/>
      <c r="E345" s="9"/>
      <c r="F345" s="130">
        <f t="shared" si="56"/>
        <v>0</v>
      </c>
      <c r="G345" s="131">
        <f t="shared" si="57"/>
        <v>0</v>
      </c>
      <c r="I345" s="110"/>
    </row>
    <row r="346" spans="1:9" ht="16.350000000000001" customHeight="1">
      <c r="A346" s="47" t="s">
        <v>230</v>
      </c>
      <c r="B346" s="5"/>
      <c r="C346" s="4"/>
      <c r="F346" s="133"/>
      <c r="G346" s="132"/>
    </row>
    <row r="347" spans="1:9" ht="16.350000000000001" customHeight="1">
      <c r="A347" s="43" t="s">
        <v>0</v>
      </c>
      <c r="B347" s="7" t="s">
        <v>1</v>
      </c>
      <c r="C347" s="8" t="s">
        <v>4</v>
      </c>
      <c r="D347" s="7" t="s">
        <v>2</v>
      </c>
      <c r="E347" s="7" t="s">
        <v>6</v>
      </c>
      <c r="F347" s="128" t="s">
        <v>7</v>
      </c>
      <c r="G347" s="129" t="s">
        <v>8</v>
      </c>
    </row>
    <row r="348" spans="1:9" ht="16.350000000000001" customHeight="1">
      <c r="A348" s="45">
        <v>1</v>
      </c>
      <c r="B348" s="120" t="s">
        <v>47</v>
      </c>
      <c r="C348" s="120" t="s">
        <v>53</v>
      </c>
      <c r="D348" s="9"/>
      <c r="E348" s="9"/>
      <c r="F348" s="130">
        <f>IF(E348="",0,IF(E348&gt;0,RANK(E348,E340:E353,1)))</f>
        <v>0</v>
      </c>
      <c r="G348" s="131">
        <f>VLOOKUP(F348,$L$3:$M$33,2,0)</f>
        <v>0</v>
      </c>
    </row>
    <row r="349" spans="1:9" ht="16.350000000000001" customHeight="1">
      <c r="A349" s="45">
        <v>2</v>
      </c>
      <c r="B349" s="120" t="s">
        <v>234</v>
      </c>
      <c r="C349" s="120" t="s">
        <v>53</v>
      </c>
      <c r="D349" s="9"/>
      <c r="E349" s="9"/>
      <c r="F349" s="130">
        <f>IF(E349="",0,IF(E349&gt;0,RANK(E349,E340:E353,1)))</f>
        <v>0</v>
      </c>
      <c r="G349" s="131">
        <f t="shared" ref="G349:G353" si="58">VLOOKUP(F349,$L$3:$M$33,2,0)</f>
        <v>0</v>
      </c>
    </row>
    <row r="350" spans="1:9" ht="16.350000000000001" customHeight="1">
      <c r="A350" s="45">
        <v>3</v>
      </c>
      <c r="B350" s="120" t="s">
        <v>235</v>
      </c>
      <c r="C350" s="120" t="s">
        <v>56</v>
      </c>
      <c r="D350" s="9"/>
      <c r="E350" s="9"/>
      <c r="F350" s="130">
        <f>IF(E350="",0,IF(E350&gt;0,RANK(E350,E340:E353,1)))</f>
        <v>0</v>
      </c>
      <c r="G350" s="131">
        <f t="shared" si="58"/>
        <v>0</v>
      </c>
    </row>
    <row r="351" spans="1:9" ht="16.350000000000001" customHeight="1">
      <c r="A351" s="45">
        <v>4</v>
      </c>
      <c r="B351" s="120" t="s">
        <v>46</v>
      </c>
      <c r="C351" s="120" t="s">
        <v>56</v>
      </c>
      <c r="D351" s="9"/>
      <c r="E351" s="9"/>
      <c r="F351" s="130">
        <f>IF(E351="",0,IF(E351&gt;0,RANK(E351,E340:E353,1)))</f>
        <v>0</v>
      </c>
      <c r="G351" s="131">
        <f t="shared" si="58"/>
        <v>0</v>
      </c>
    </row>
    <row r="352" spans="1:9" ht="16.350000000000001" customHeight="1">
      <c r="A352" s="45">
        <v>5</v>
      </c>
      <c r="B352" s="120" t="s">
        <v>236</v>
      </c>
      <c r="C352" s="120" t="s">
        <v>56</v>
      </c>
      <c r="D352" s="9"/>
      <c r="E352" s="9"/>
      <c r="F352" s="130">
        <f>IF(E352="",0,IF(E352&gt;0,RANK(E352,E340:E353,1)))</f>
        <v>0</v>
      </c>
      <c r="G352" s="131">
        <f t="shared" ref="G352" si="59">VLOOKUP(F352,$L$3:$M$33,2,0)</f>
        <v>0</v>
      </c>
    </row>
    <row r="353" spans="1:11" ht="16.350000000000001" customHeight="1">
      <c r="A353" s="45">
        <v>6</v>
      </c>
      <c r="B353" s="23" t="s">
        <v>5</v>
      </c>
      <c r="C353" s="91" t="s">
        <v>5</v>
      </c>
      <c r="D353" s="9"/>
      <c r="E353" s="9"/>
      <c r="F353" s="130">
        <f>IF(E353="",0,IF(E353&gt;0,RANK(E353,E340:E353,1)))</f>
        <v>0</v>
      </c>
      <c r="G353" s="131">
        <f t="shared" si="58"/>
        <v>0</v>
      </c>
    </row>
    <row r="354" spans="1:11" ht="16.350000000000001" customHeight="1">
      <c r="A354" s="47" t="s">
        <v>237</v>
      </c>
      <c r="B354" s="5"/>
      <c r="C354" s="4"/>
      <c r="G354" s="48"/>
    </row>
    <row r="355" spans="1:11" ht="16.350000000000001" customHeight="1">
      <c r="A355" s="43" t="s">
        <v>0</v>
      </c>
      <c r="B355" s="7" t="s">
        <v>1</v>
      </c>
      <c r="C355" s="8" t="s">
        <v>4</v>
      </c>
      <c r="D355" s="7" t="s">
        <v>2</v>
      </c>
      <c r="E355" s="7" t="s">
        <v>6</v>
      </c>
      <c r="F355" s="128" t="s">
        <v>7</v>
      </c>
      <c r="G355" s="129" t="s">
        <v>8</v>
      </c>
    </row>
    <row r="356" spans="1:11" ht="16.350000000000001" customHeight="1">
      <c r="A356" s="45">
        <v>1</v>
      </c>
      <c r="B356" s="127" t="s">
        <v>182</v>
      </c>
      <c r="C356" s="120" t="s">
        <v>60</v>
      </c>
      <c r="D356" s="9"/>
      <c r="E356" s="9"/>
      <c r="F356" s="130">
        <f>IF(E356="",0,IF(E356&gt;0,RANK(E356,E356:E377,1)))</f>
        <v>0</v>
      </c>
      <c r="G356" s="131">
        <f>VLOOKUP(F356,$L$3:$M$33,2,0)</f>
        <v>0</v>
      </c>
    </row>
    <row r="357" spans="1:11" ht="16.350000000000001" customHeight="1">
      <c r="A357" s="45">
        <v>2</v>
      </c>
      <c r="B357" s="127" t="s">
        <v>50</v>
      </c>
      <c r="C357" s="120" t="s">
        <v>60</v>
      </c>
      <c r="D357" s="9"/>
      <c r="E357" s="9"/>
      <c r="F357" s="130">
        <f>IF(E357="",0,IF(E357&gt;0,RANK(E357,E356:E377,1)))</f>
        <v>0</v>
      </c>
      <c r="G357" s="131">
        <f t="shared" ref="G357:G361" si="60">VLOOKUP(F357,$L$3:$M$33,2,0)</f>
        <v>0</v>
      </c>
    </row>
    <row r="358" spans="1:11" ht="16.350000000000001" customHeight="1">
      <c r="A358" s="45">
        <v>3</v>
      </c>
      <c r="B358" s="136" t="s">
        <v>122</v>
      </c>
      <c r="C358" s="136" t="s">
        <v>71</v>
      </c>
      <c r="D358" s="9"/>
      <c r="E358" s="9"/>
      <c r="F358" s="130">
        <f>IF(E358="",0,IF(E358&gt;0,RANK(E358,E356:E377,1)))</f>
        <v>0</v>
      </c>
      <c r="G358" s="131">
        <f t="shared" si="60"/>
        <v>0</v>
      </c>
    </row>
    <row r="359" spans="1:11" ht="16.350000000000001" customHeight="1">
      <c r="A359" s="45">
        <v>4</v>
      </c>
      <c r="B359" s="136" t="s">
        <v>192</v>
      </c>
      <c r="C359" s="136" t="s">
        <v>71</v>
      </c>
      <c r="D359" s="9"/>
      <c r="E359" s="9"/>
      <c r="F359" s="130">
        <f>IF(E359="",0,IF(E359&gt;0,RANK(E359,E356:E377,1)))</f>
        <v>0</v>
      </c>
      <c r="G359" s="131">
        <f t="shared" si="60"/>
        <v>0</v>
      </c>
    </row>
    <row r="360" spans="1:11" ht="16.350000000000001" customHeight="1">
      <c r="A360" s="45">
        <v>5</v>
      </c>
      <c r="B360" s="120" t="s">
        <v>184</v>
      </c>
      <c r="C360" s="120" t="s">
        <v>78</v>
      </c>
      <c r="D360" s="9"/>
      <c r="E360" s="9"/>
      <c r="F360" s="130">
        <f>IF(E360="",0,IF(E360&gt;0,RANK(E360,E356:E377,1)))</f>
        <v>0</v>
      </c>
      <c r="G360" s="131">
        <f t="shared" si="60"/>
        <v>0</v>
      </c>
    </row>
    <row r="361" spans="1:11" ht="16.350000000000001" customHeight="1">
      <c r="A361" s="45">
        <v>6</v>
      </c>
      <c r="B361" s="120"/>
      <c r="C361" s="120"/>
      <c r="D361" s="9"/>
      <c r="E361" s="9"/>
      <c r="F361" s="130">
        <f>IF(E361="",0,IF(E361&gt;0,RANK(E361,E356:E377,1)))</f>
        <v>0</v>
      </c>
      <c r="G361" s="131">
        <f t="shared" si="60"/>
        <v>0</v>
      </c>
    </row>
    <row r="362" spans="1:11" ht="16.350000000000001" customHeight="1">
      <c r="A362" s="47" t="s">
        <v>238</v>
      </c>
      <c r="B362" s="5"/>
      <c r="C362" s="4"/>
      <c r="F362" s="133"/>
      <c r="G362" s="132"/>
    </row>
    <row r="363" spans="1:11" ht="16.350000000000001" customHeight="1">
      <c r="A363" s="43" t="s">
        <v>0</v>
      </c>
      <c r="B363" s="7" t="s">
        <v>1</v>
      </c>
      <c r="C363" s="8" t="s">
        <v>4</v>
      </c>
      <c r="D363" s="7" t="s">
        <v>2</v>
      </c>
      <c r="E363" s="7" t="s">
        <v>6</v>
      </c>
      <c r="F363" s="128" t="s">
        <v>7</v>
      </c>
      <c r="G363" s="129" t="s">
        <v>8</v>
      </c>
    </row>
    <row r="364" spans="1:11" ht="16.350000000000001" customHeight="1">
      <c r="A364" s="45">
        <v>1</v>
      </c>
      <c r="B364" s="126"/>
      <c r="C364" s="126"/>
      <c r="D364" s="9"/>
      <c r="E364" s="9"/>
      <c r="F364" s="130">
        <f>IF(E364="",0,IF(E364&gt;0,RANK(E364,E356:E377,1)))</f>
        <v>0</v>
      </c>
      <c r="G364" s="131">
        <f>VLOOKUP(F364,$L$3:$M$33,2,0)</f>
        <v>0</v>
      </c>
    </row>
    <row r="365" spans="1:11" ht="16.350000000000001" customHeight="1">
      <c r="A365" s="45">
        <v>2</v>
      </c>
      <c r="B365" s="126" t="s">
        <v>119</v>
      </c>
      <c r="C365" s="126" t="s">
        <v>240</v>
      </c>
      <c r="D365" s="9"/>
      <c r="E365" s="9"/>
      <c r="F365" s="130">
        <f>IF(E365="",0,IF(E365&gt;0,RANK(E365,E356:E377,1)))</f>
        <v>0</v>
      </c>
      <c r="G365" s="131">
        <f t="shared" ref="G365:G369" si="61">VLOOKUP(F365,$L$3:$M$33,2,0)</f>
        <v>0</v>
      </c>
    </row>
    <row r="366" spans="1:11" ht="16.350000000000001" customHeight="1">
      <c r="A366" s="45">
        <v>3</v>
      </c>
      <c r="B366" s="120" t="s">
        <v>180</v>
      </c>
      <c r="C366" s="120" t="s">
        <v>15</v>
      </c>
      <c r="D366" s="9"/>
      <c r="E366" s="9"/>
      <c r="F366" s="130">
        <f>IF(E366="",0,IF(E366&gt;0,RANK(E366,E356:E377,1)))</f>
        <v>0</v>
      </c>
      <c r="G366" s="131">
        <f t="shared" si="61"/>
        <v>0</v>
      </c>
    </row>
    <row r="367" spans="1:11" ht="16.350000000000001" customHeight="1">
      <c r="A367" s="45">
        <v>4</v>
      </c>
      <c r="B367" s="127" t="s">
        <v>181</v>
      </c>
      <c r="C367" s="120" t="s">
        <v>60</v>
      </c>
      <c r="D367" s="9"/>
      <c r="E367" s="9"/>
      <c r="F367" s="130">
        <f>IF(E367="",0,IF(E367&gt;0,RANK(E367,E356:E377,1)))</f>
        <v>0</v>
      </c>
      <c r="G367" s="131">
        <f t="shared" si="61"/>
        <v>0</v>
      </c>
      <c r="H367" s="31"/>
      <c r="I367" s="101"/>
      <c r="J367" s="101"/>
      <c r="K367" s="101"/>
    </row>
    <row r="368" spans="1:11" ht="16.350000000000001" customHeight="1">
      <c r="A368" s="45">
        <v>5</v>
      </c>
      <c r="B368" s="120" t="s">
        <v>241</v>
      </c>
      <c r="C368" s="120" t="s">
        <v>53</v>
      </c>
      <c r="D368" s="9"/>
      <c r="E368" s="9"/>
      <c r="F368" s="130">
        <f>IF(E368="",0,IF(E368&gt;0,RANK(E368,E356:E377,1)))</f>
        <v>0</v>
      </c>
      <c r="G368" s="131">
        <f t="shared" si="61"/>
        <v>0</v>
      </c>
    </row>
    <row r="369" spans="1:11" ht="16.350000000000001" customHeight="1">
      <c r="A369" s="45">
        <v>6</v>
      </c>
      <c r="B369" s="120"/>
      <c r="C369" s="120"/>
      <c r="D369" s="9"/>
      <c r="E369" s="9"/>
      <c r="F369" s="130">
        <f>IF(E369="",0,IF(E369&gt;0,RANK(E369,E356:E377,1)))</f>
        <v>0</v>
      </c>
      <c r="G369" s="131">
        <f t="shared" si="61"/>
        <v>0</v>
      </c>
    </row>
    <row r="370" spans="1:11" ht="16.350000000000001" customHeight="1">
      <c r="A370" s="47" t="s">
        <v>246</v>
      </c>
      <c r="B370" s="5"/>
      <c r="C370" s="4"/>
      <c r="F370" s="133"/>
      <c r="G370" s="132"/>
    </row>
    <row r="371" spans="1:11" ht="16.350000000000001" customHeight="1">
      <c r="A371" s="43" t="s">
        <v>0</v>
      </c>
      <c r="B371" s="7" t="s">
        <v>1</v>
      </c>
      <c r="C371" s="8" t="s">
        <v>4</v>
      </c>
      <c r="D371" s="7" t="s">
        <v>2</v>
      </c>
      <c r="E371" s="7" t="s">
        <v>6</v>
      </c>
      <c r="F371" s="128" t="s">
        <v>7</v>
      </c>
      <c r="G371" s="129" t="s">
        <v>8</v>
      </c>
    </row>
    <row r="372" spans="1:11" ht="16.350000000000001" customHeight="1">
      <c r="A372" s="45">
        <v>1</v>
      </c>
      <c r="B372" s="127"/>
      <c r="C372" s="120"/>
      <c r="D372" s="9"/>
      <c r="E372" s="9"/>
      <c r="F372" s="130">
        <f>IF(E372="",0,IF(E372&gt;0,RANK(E372,E356:E377,1)))</f>
        <v>0</v>
      </c>
      <c r="G372" s="131">
        <f>VLOOKUP(F372,$L$3:$M$33,2,0)</f>
        <v>0</v>
      </c>
    </row>
    <row r="373" spans="1:11" ht="16.350000000000001" customHeight="1">
      <c r="A373" s="45">
        <v>2</v>
      </c>
      <c r="B373" s="127" t="s">
        <v>244</v>
      </c>
      <c r="C373" s="120" t="s">
        <v>84</v>
      </c>
      <c r="D373" s="9"/>
      <c r="E373" s="9"/>
      <c r="F373" s="130">
        <f>IF(E373="",0,IF(E373&gt;0,RANK(E373,E356:E377,1)))</f>
        <v>0</v>
      </c>
      <c r="G373" s="131">
        <f t="shared" ref="G373:G377" si="62">VLOOKUP(F373,$L$3:$M$33,2,0)</f>
        <v>0</v>
      </c>
    </row>
    <row r="374" spans="1:11" ht="16.350000000000001" customHeight="1">
      <c r="A374" s="45">
        <v>3</v>
      </c>
      <c r="B374" s="126" t="s">
        <v>245</v>
      </c>
      <c r="C374" s="120" t="s">
        <v>13</v>
      </c>
      <c r="D374" s="9"/>
      <c r="E374" s="9"/>
      <c r="F374" s="130">
        <f>IF(E374="",0,IF(E374&gt;0,RANK(E374,E356:E377,1)))</f>
        <v>0</v>
      </c>
      <c r="G374" s="131">
        <f t="shared" si="62"/>
        <v>0</v>
      </c>
    </row>
    <row r="375" spans="1:11" ht="16.350000000000001" customHeight="1">
      <c r="A375" s="45">
        <v>4</v>
      </c>
      <c r="B375" s="120" t="s">
        <v>242</v>
      </c>
      <c r="C375" s="120" t="s">
        <v>58</v>
      </c>
      <c r="D375" s="9"/>
      <c r="E375" s="9"/>
      <c r="F375" s="130">
        <f>IF(E375="",0,IF(E375&gt;0,RANK(E375,E356:E377,1)))</f>
        <v>0</v>
      </c>
      <c r="G375" s="131">
        <f t="shared" si="62"/>
        <v>0</v>
      </c>
      <c r="H375" s="31"/>
      <c r="I375" s="101"/>
      <c r="J375" s="101"/>
      <c r="K375" s="101"/>
    </row>
    <row r="376" spans="1:11" ht="16.350000000000001" customHeight="1">
      <c r="A376" s="45">
        <v>5</v>
      </c>
      <c r="B376" s="120" t="s">
        <v>125</v>
      </c>
      <c r="C376" s="120" t="s">
        <v>239</v>
      </c>
      <c r="D376" s="9"/>
      <c r="E376" s="9"/>
      <c r="F376" s="130">
        <f>IF(E376="",0,IF(E376&gt;0,RANK(E376,E356:E377,1)))</f>
        <v>0</v>
      </c>
      <c r="G376" s="131">
        <f t="shared" si="62"/>
        <v>0</v>
      </c>
    </row>
    <row r="377" spans="1:11" ht="16.350000000000001" customHeight="1">
      <c r="A377" s="45">
        <v>6</v>
      </c>
      <c r="B377" s="85"/>
      <c r="C377" s="85"/>
      <c r="D377" s="9"/>
      <c r="E377" s="9"/>
      <c r="F377" s="130">
        <f>IF(E377="",0,IF(E377&gt;0,RANK(E377,E356:E377,1)))</f>
        <v>0</v>
      </c>
      <c r="G377" s="131">
        <f t="shared" si="62"/>
        <v>0</v>
      </c>
    </row>
    <row r="378" spans="1:11" s="13" customFormat="1" ht="16.350000000000001" customHeight="1">
      <c r="A378" s="47" t="s">
        <v>247</v>
      </c>
      <c r="B378" s="5"/>
      <c r="C378" s="5"/>
      <c r="D378" s="16"/>
      <c r="E378" s="16"/>
      <c r="F378" s="16"/>
      <c r="G378" s="52"/>
    </row>
    <row r="379" spans="1:11" ht="16.350000000000001" customHeight="1">
      <c r="A379" s="43" t="s">
        <v>0</v>
      </c>
      <c r="B379" s="7" t="s">
        <v>1</v>
      </c>
      <c r="C379" s="8" t="s">
        <v>4</v>
      </c>
      <c r="D379" s="7" t="s">
        <v>2</v>
      </c>
      <c r="E379" s="7" t="s">
        <v>6</v>
      </c>
      <c r="F379" s="128" t="s">
        <v>7</v>
      </c>
      <c r="G379" s="129" t="s">
        <v>8</v>
      </c>
      <c r="I379" s="110"/>
    </row>
    <row r="380" spans="1:11" ht="16.350000000000001" customHeight="1">
      <c r="A380" s="45">
        <v>1</v>
      </c>
      <c r="B380" s="120" t="s">
        <v>192</v>
      </c>
      <c r="C380" s="120" t="s">
        <v>15</v>
      </c>
      <c r="D380" s="9"/>
      <c r="E380" s="9"/>
      <c r="F380" s="130">
        <f>IF(E380="",0,IF(E380&gt;0,RANK(E380,$E$380:$E$401,1)))</f>
        <v>0</v>
      </c>
      <c r="G380" s="131">
        <f>VLOOKUP(F380,$L$3:$M$33,2,0)</f>
        <v>0</v>
      </c>
      <c r="I380" s="110"/>
    </row>
    <row r="381" spans="1:11" ht="16.350000000000001" customHeight="1">
      <c r="A381" s="45">
        <v>2</v>
      </c>
      <c r="B381" s="120" t="s">
        <v>134</v>
      </c>
      <c r="C381" s="120" t="s">
        <v>15</v>
      </c>
      <c r="D381" s="9"/>
      <c r="E381" s="9"/>
      <c r="F381" s="130">
        <f t="shared" ref="F381:F385" si="63">IF(E381="",0,IF(E381&gt;0,RANK(E381,$E$380:$E$401,1)))</f>
        <v>0</v>
      </c>
      <c r="G381" s="131">
        <f t="shared" ref="G381:G385" si="64">VLOOKUP(F381,$L$3:$M$33,2,0)</f>
        <v>0</v>
      </c>
      <c r="I381" s="110"/>
    </row>
    <row r="382" spans="1:11" ht="16.350000000000001" customHeight="1">
      <c r="A382" s="45">
        <v>3</v>
      </c>
      <c r="B382" s="120" t="s">
        <v>48</v>
      </c>
      <c r="C382" s="120" t="s">
        <v>53</v>
      </c>
      <c r="D382" s="9"/>
      <c r="E382" s="9"/>
      <c r="F382" s="130">
        <f t="shared" si="63"/>
        <v>0</v>
      </c>
      <c r="G382" s="131">
        <f t="shared" si="64"/>
        <v>0</v>
      </c>
      <c r="I382" s="110"/>
    </row>
    <row r="383" spans="1:11" ht="16.350000000000001" customHeight="1">
      <c r="A383" s="45">
        <v>4</v>
      </c>
      <c r="B383" s="137" t="s">
        <v>198</v>
      </c>
      <c r="C383" s="136" t="s">
        <v>71</v>
      </c>
      <c r="D383" s="9"/>
      <c r="E383" s="9"/>
      <c r="F383" s="130">
        <f t="shared" si="63"/>
        <v>0</v>
      </c>
      <c r="G383" s="131">
        <f t="shared" si="64"/>
        <v>0</v>
      </c>
      <c r="I383" s="110"/>
    </row>
    <row r="384" spans="1:11" ht="16.350000000000001" customHeight="1">
      <c r="A384" s="45">
        <v>5</v>
      </c>
      <c r="B384" s="120" t="s">
        <v>203</v>
      </c>
      <c r="C384" s="120" t="s">
        <v>78</v>
      </c>
      <c r="D384" s="9"/>
      <c r="E384" s="9"/>
      <c r="F384" s="130">
        <f t="shared" si="63"/>
        <v>0</v>
      </c>
      <c r="G384" s="131">
        <f t="shared" si="64"/>
        <v>0</v>
      </c>
      <c r="I384" s="110"/>
    </row>
    <row r="385" spans="1:9" ht="16.350000000000001" customHeight="1">
      <c r="A385" s="45">
        <v>6</v>
      </c>
      <c r="B385" s="120"/>
      <c r="C385" s="120"/>
      <c r="D385" s="9"/>
      <c r="E385" s="9"/>
      <c r="F385" s="130">
        <f t="shared" si="63"/>
        <v>0</v>
      </c>
      <c r="G385" s="131">
        <f t="shared" si="64"/>
        <v>0</v>
      </c>
      <c r="I385" s="110"/>
    </row>
    <row r="386" spans="1:9" ht="16.350000000000001" customHeight="1">
      <c r="A386" s="47" t="s">
        <v>248</v>
      </c>
      <c r="B386" s="5"/>
      <c r="C386" s="4"/>
      <c r="F386" s="133"/>
      <c r="G386" s="132"/>
      <c r="I386" s="110"/>
    </row>
    <row r="387" spans="1:9" ht="16.350000000000001" customHeight="1">
      <c r="A387" s="43" t="s">
        <v>0</v>
      </c>
      <c r="B387" s="7" t="s">
        <v>1</v>
      </c>
      <c r="C387" s="8" t="s">
        <v>4</v>
      </c>
      <c r="D387" s="7" t="s">
        <v>2</v>
      </c>
      <c r="E387" s="7" t="s">
        <v>6</v>
      </c>
      <c r="F387" s="128" t="s">
        <v>7</v>
      </c>
      <c r="G387" s="129" t="s">
        <v>8</v>
      </c>
      <c r="I387" s="110"/>
    </row>
    <row r="388" spans="1:9" ht="16.350000000000001" customHeight="1">
      <c r="A388" s="45">
        <v>1</v>
      </c>
      <c r="B388" s="120"/>
      <c r="C388" s="120"/>
      <c r="D388" s="9"/>
      <c r="E388" s="9"/>
      <c r="F388" s="130">
        <f>IF(E388="",0,IF(E388&gt;0,RANK(E388,$E$380:$E$401,1)))</f>
        <v>0</v>
      </c>
      <c r="G388" s="131">
        <f>VLOOKUP(F388,$L$3:$M$33,2,0)</f>
        <v>0</v>
      </c>
      <c r="I388" s="110"/>
    </row>
    <row r="389" spans="1:9" ht="16.350000000000001" customHeight="1">
      <c r="A389" s="45">
        <v>2</v>
      </c>
      <c r="B389" s="120" t="s">
        <v>251</v>
      </c>
      <c r="C389" s="120" t="s">
        <v>15</v>
      </c>
      <c r="D389" s="9"/>
      <c r="E389" s="9"/>
      <c r="F389" s="130">
        <f t="shared" ref="F389:F393" si="65">IF(E389="",0,IF(E389&gt;0,RANK(E389,$E$380:$E$401,1)))</f>
        <v>0</v>
      </c>
      <c r="G389" s="131">
        <f t="shared" ref="G389:G393" si="66">VLOOKUP(F389,$L$3:$M$33,2,0)</f>
        <v>0</v>
      </c>
      <c r="I389" s="110"/>
    </row>
    <row r="390" spans="1:9" ht="16.350000000000001" customHeight="1">
      <c r="A390" s="45">
        <v>3</v>
      </c>
      <c r="B390" s="120" t="s">
        <v>252</v>
      </c>
      <c r="C390" s="120" t="s">
        <v>53</v>
      </c>
      <c r="D390" s="9"/>
      <c r="E390" s="9"/>
      <c r="F390" s="130">
        <f t="shared" si="65"/>
        <v>0</v>
      </c>
      <c r="G390" s="131">
        <f t="shared" si="66"/>
        <v>0</v>
      </c>
      <c r="I390" s="110"/>
    </row>
    <row r="391" spans="1:9" ht="16.350000000000001" customHeight="1">
      <c r="A391" s="45">
        <v>4</v>
      </c>
      <c r="B391" s="120" t="s">
        <v>253</v>
      </c>
      <c r="C391" s="120" t="s">
        <v>53</v>
      </c>
      <c r="D391" s="9"/>
      <c r="E391" s="9"/>
      <c r="F391" s="130">
        <f t="shared" si="65"/>
        <v>0</v>
      </c>
      <c r="G391" s="131">
        <f t="shared" si="66"/>
        <v>0</v>
      </c>
      <c r="I391" s="110"/>
    </row>
    <row r="392" spans="1:9" ht="16.350000000000001" customHeight="1">
      <c r="A392" s="45">
        <v>5</v>
      </c>
      <c r="B392" s="136" t="s">
        <v>254</v>
      </c>
      <c r="C392" s="136" t="s">
        <v>71</v>
      </c>
      <c r="D392" s="9"/>
      <c r="E392" s="9"/>
      <c r="F392" s="130">
        <f t="shared" si="65"/>
        <v>0</v>
      </c>
      <c r="G392" s="131">
        <f t="shared" si="66"/>
        <v>0</v>
      </c>
      <c r="I392" s="110"/>
    </row>
    <row r="393" spans="1:9" ht="16.350000000000001" customHeight="1">
      <c r="A393" s="45">
        <v>6</v>
      </c>
      <c r="B393" s="23"/>
      <c r="C393" s="91"/>
      <c r="D393" s="9"/>
      <c r="E393" s="9"/>
      <c r="F393" s="130">
        <f t="shared" si="65"/>
        <v>0</v>
      </c>
      <c r="G393" s="131">
        <f t="shared" si="66"/>
        <v>0</v>
      </c>
      <c r="I393" s="110"/>
    </row>
    <row r="394" spans="1:9" ht="16.350000000000001" customHeight="1">
      <c r="A394" s="47" t="s">
        <v>250</v>
      </c>
      <c r="B394" s="5"/>
      <c r="C394" s="4"/>
      <c r="F394" s="133"/>
      <c r="G394" s="132"/>
    </row>
    <row r="395" spans="1:9" ht="16.350000000000001" customHeight="1">
      <c r="A395" s="43" t="s">
        <v>0</v>
      </c>
      <c r="B395" s="7" t="s">
        <v>1</v>
      </c>
      <c r="C395" s="8" t="s">
        <v>4</v>
      </c>
      <c r="D395" s="7" t="s">
        <v>2</v>
      </c>
      <c r="E395" s="7" t="s">
        <v>6</v>
      </c>
      <c r="F395" s="128" t="s">
        <v>7</v>
      </c>
      <c r="G395" s="129" t="s">
        <v>8</v>
      </c>
      <c r="I395" s="110"/>
    </row>
    <row r="396" spans="1:9" ht="16.350000000000001" customHeight="1">
      <c r="A396" s="45">
        <v>1</v>
      </c>
      <c r="B396" s="120"/>
      <c r="C396" s="120"/>
      <c r="D396" s="9"/>
      <c r="E396" s="9"/>
      <c r="F396" s="130">
        <f>IF(E396="",0,IF(E396&gt;0,RANK(E396,$E$380:$E$401,1)))</f>
        <v>0</v>
      </c>
      <c r="G396" s="131">
        <f>VLOOKUP(F396,$L$3:$M$33,2,0)</f>
        <v>0</v>
      </c>
      <c r="I396" s="110"/>
    </row>
    <row r="397" spans="1:9" ht="16.350000000000001" customHeight="1">
      <c r="A397" s="45">
        <v>2</v>
      </c>
      <c r="B397" s="120" t="s">
        <v>249</v>
      </c>
      <c r="C397" s="120" t="s">
        <v>53</v>
      </c>
      <c r="D397" s="9"/>
      <c r="E397" s="9"/>
      <c r="F397" s="130">
        <f t="shared" ref="F397:F401" si="67">IF(E397="",0,IF(E397&gt;0,RANK(E397,$E$380:$E$401,1)))</f>
        <v>0</v>
      </c>
      <c r="G397" s="131">
        <f t="shared" ref="G397:G401" si="68">VLOOKUP(F397,$L$3:$M$33,2,0)</f>
        <v>0</v>
      </c>
      <c r="I397" s="110"/>
    </row>
    <row r="398" spans="1:9" ht="16.350000000000001" customHeight="1">
      <c r="A398" s="45">
        <v>3</v>
      </c>
      <c r="B398" s="127" t="s">
        <v>255</v>
      </c>
      <c r="C398" s="120" t="s">
        <v>73</v>
      </c>
      <c r="D398" s="9"/>
      <c r="E398" s="9"/>
      <c r="F398" s="130">
        <f t="shared" si="67"/>
        <v>0</v>
      </c>
      <c r="G398" s="131">
        <f t="shared" si="68"/>
        <v>0</v>
      </c>
      <c r="I398" s="110"/>
    </row>
    <row r="399" spans="1:9" ht="16.350000000000001" customHeight="1">
      <c r="A399" s="45">
        <v>4</v>
      </c>
      <c r="B399" s="120" t="s">
        <v>256</v>
      </c>
      <c r="C399" s="120" t="s">
        <v>56</v>
      </c>
      <c r="D399" s="9"/>
      <c r="E399" s="9"/>
      <c r="F399" s="130">
        <f t="shared" si="67"/>
        <v>0</v>
      </c>
      <c r="G399" s="131">
        <f t="shared" si="68"/>
        <v>0</v>
      </c>
      <c r="I399" s="110"/>
    </row>
    <row r="400" spans="1:9" ht="16.350000000000001" customHeight="1">
      <c r="A400" s="45">
        <v>5</v>
      </c>
      <c r="B400" s="127" t="s">
        <v>258</v>
      </c>
      <c r="C400" s="120" t="s">
        <v>78</v>
      </c>
      <c r="D400" s="9"/>
      <c r="E400" s="9"/>
      <c r="F400" s="130">
        <f t="shared" si="67"/>
        <v>0</v>
      </c>
      <c r="G400" s="131">
        <f t="shared" si="68"/>
        <v>0</v>
      </c>
      <c r="I400" s="110"/>
    </row>
    <row r="401" spans="1:9" ht="16.350000000000001" customHeight="1">
      <c r="A401" s="45">
        <v>6</v>
      </c>
      <c r="B401" s="74"/>
      <c r="C401" s="74"/>
      <c r="D401" s="9"/>
      <c r="E401" s="9"/>
      <c r="F401" s="130">
        <f t="shared" si="67"/>
        <v>0</v>
      </c>
      <c r="G401" s="131">
        <f t="shared" si="68"/>
        <v>0</v>
      </c>
      <c r="I401" s="110"/>
    </row>
    <row r="402" spans="1:9" ht="16.350000000000001" customHeight="1">
      <c r="A402" s="47" t="s">
        <v>259</v>
      </c>
      <c r="B402" s="5"/>
      <c r="C402" s="4"/>
      <c r="G402" s="48"/>
      <c r="I402" s="110"/>
    </row>
    <row r="403" spans="1:9" ht="16.350000000000001" customHeight="1">
      <c r="A403" s="43" t="s">
        <v>0</v>
      </c>
      <c r="B403" s="7" t="s">
        <v>1</v>
      </c>
      <c r="C403" s="8" t="s">
        <v>4</v>
      </c>
      <c r="D403" s="7" t="s">
        <v>2</v>
      </c>
      <c r="E403" s="7" t="s">
        <v>6</v>
      </c>
      <c r="F403" s="128" t="s">
        <v>7</v>
      </c>
      <c r="G403" s="129" t="s">
        <v>8</v>
      </c>
      <c r="I403" s="110"/>
    </row>
    <row r="404" spans="1:9" ht="16.350000000000001" customHeight="1">
      <c r="A404" s="45">
        <v>1</v>
      </c>
      <c r="B404" s="120" t="s">
        <v>23</v>
      </c>
      <c r="C404" s="120" t="s">
        <v>53</v>
      </c>
      <c r="D404" s="9"/>
      <c r="E404" s="9"/>
      <c r="F404" s="130">
        <f>IF(E404="",0,IF(E404&gt;0,RANK(E404,$E$404:$E$417,1)))</f>
        <v>0</v>
      </c>
      <c r="G404" s="131">
        <f>VLOOKUP(F404,$L$3:$M$33,2,0)</f>
        <v>0</v>
      </c>
      <c r="I404" s="110"/>
    </row>
    <row r="405" spans="1:9" ht="16.350000000000001" customHeight="1">
      <c r="A405" s="45">
        <v>2</v>
      </c>
      <c r="B405" s="120" t="s">
        <v>152</v>
      </c>
      <c r="C405" s="120" t="s">
        <v>82</v>
      </c>
      <c r="D405" s="9"/>
      <c r="E405" s="9"/>
      <c r="F405" s="130">
        <f t="shared" ref="F405:F409" si="69">IF(E405="",0,IF(E405&gt;0,RANK(E405,$E$404:$E$417,1)))</f>
        <v>0</v>
      </c>
      <c r="G405" s="131">
        <f t="shared" ref="G405:G409" si="70">VLOOKUP(F405,$L$3:$M$33,2,0)</f>
        <v>0</v>
      </c>
      <c r="I405" s="110"/>
    </row>
    <row r="406" spans="1:9" ht="16.350000000000001" customHeight="1">
      <c r="A406" s="45">
        <v>3</v>
      </c>
      <c r="B406" s="120" t="s">
        <v>153</v>
      </c>
      <c r="C406" s="120" t="s">
        <v>260</v>
      </c>
      <c r="D406" s="9"/>
      <c r="E406" s="9"/>
      <c r="F406" s="130">
        <f t="shared" si="69"/>
        <v>0</v>
      </c>
      <c r="G406" s="131">
        <f t="shared" si="70"/>
        <v>0</v>
      </c>
      <c r="I406" s="110"/>
    </row>
    <row r="407" spans="1:9" ht="16.350000000000001" customHeight="1">
      <c r="A407" s="45">
        <v>4</v>
      </c>
      <c r="B407" s="120" t="s">
        <v>262</v>
      </c>
      <c r="C407" s="120" t="s">
        <v>53</v>
      </c>
      <c r="D407" s="9"/>
      <c r="E407" s="9"/>
      <c r="F407" s="130">
        <f t="shared" si="69"/>
        <v>0</v>
      </c>
      <c r="G407" s="131">
        <f t="shared" si="70"/>
        <v>0</v>
      </c>
      <c r="I407" s="110"/>
    </row>
    <row r="408" spans="1:9" ht="16.350000000000001" customHeight="1">
      <c r="A408" s="45">
        <v>5</v>
      </c>
      <c r="B408" s="120" t="s">
        <v>263</v>
      </c>
      <c r="C408" s="120" t="s">
        <v>53</v>
      </c>
      <c r="D408" s="9"/>
      <c r="E408" s="9"/>
      <c r="F408" s="130">
        <f t="shared" si="69"/>
        <v>0</v>
      </c>
      <c r="G408" s="131">
        <f t="shared" si="70"/>
        <v>0</v>
      </c>
      <c r="I408" s="110"/>
    </row>
    <row r="409" spans="1:9" ht="16.350000000000001" customHeight="1">
      <c r="A409" s="45">
        <v>6</v>
      </c>
      <c r="B409" s="120" t="s">
        <v>264</v>
      </c>
      <c r="C409" s="120" t="s">
        <v>265</v>
      </c>
      <c r="D409" s="9"/>
      <c r="E409" s="9"/>
      <c r="F409" s="130">
        <f t="shared" si="69"/>
        <v>0</v>
      </c>
      <c r="G409" s="131">
        <f t="shared" si="70"/>
        <v>0</v>
      </c>
      <c r="I409" s="110"/>
    </row>
    <row r="410" spans="1:9" ht="16.350000000000001" customHeight="1">
      <c r="A410" s="47" t="s">
        <v>261</v>
      </c>
      <c r="B410" s="5"/>
      <c r="C410" s="4"/>
      <c r="F410" s="133"/>
      <c r="G410" s="132"/>
    </row>
    <row r="411" spans="1:9" ht="16.350000000000001" customHeight="1">
      <c r="A411" s="43" t="s">
        <v>0</v>
      </c>
      <c r="B411" s="7" t="s">
        <v>1</v>
      </c>
      <c r="C411" s="8" t="s">
        <v>4</v>
      </c>
      <c r="D411" s="7" t="s">
        <v>2</v>
      </c>
      <c r="E411" s="7" t="s">
        <v>6</v>
      </c>
      <c r="F411" s="128" t="s">
        <v>7</v>
      </c>
      <c r="G411" s="129" t="s">
        <v>8</v>
      </c>
    </row>
    <row r="412" spans="1:9" ht="16.350000000000001" customHeight="1">
      <c r="A412" s="45">
        <v>1</v>
      </c>
      <c r="B412" s="127" t="s">
        <v>266</v>
      </c>
      <c r="C412" s="120" t="s">
        <v>60</v>
      </c>
      <c r="D412" s="9"/>
      <c r="E412" s="9"/>
      <c r="F412" s="130">
        <f>IF(E412="",0,IF(E412&gt;0,RANK(E412,E404:E417,1)))</f>
        <v>0</v>
      </c>
      <c r="G412" s="131">
        <f>VLOOKUP(F412,$L$3:$M$33,2,0)</f>
        <v>0</v>
      </c>
    </row>
    <row r="413" spans="1:9" ht="16.350000000000001" customHeight="1">
      <c r="A413" s="45">
        <v>2</v>
      </c>
      <c r="B413" s="127" t="s">
        <v>267</v>
      </c>
      <c r="C413" s="120" t="s">
        <v>60</v>
      </c>
      <c r="D413" s="9"/>
      <c r="E413" s="9"/>
      <c r="F413" s="130">
        <f>IF(E413="",0,IF(E413&gt;0,RANK(E413,E404:E417,1)))</f>
        <v>0</v>
      </c>
      <c r="G413" s="131">
        <f t="shared" ref="G413:G417" si="71">VLOOKUP(F413,$L$3:$M$33,2,0)</f>
        <v>0</v>
      </c>
    </row>
    <row r="414" spans="1:9" ht="16.350000000000001" customHeight="1">
      <c r="A414" s="45">
        <v>3</v>
      </c>
      <c r="B414" s="120" t="s">
        <v>268</v>
      </c>
      <c r="C414" s="120" t="s">
        <v>269</v>
      </c>
      <c r="D414" s="9"/>
      <c r="E414" s="9"/>
      <c r="F414" s="130">
        <f>IF(E414="",0,IF(E414&gt;0,RANK(E414,E404:E417,1)))</f>
        <v>0</v>
      </c>
      <c r="G414" s="131">
        <f t="shared" si="71"/>
        <v>0</v>
      </c>
    </row>
    <row r="415" spans="1:9" ht="16.350000000000001" customHeight="1">
      <c r="A415" s="45">
        <v>4</v>
      </c>
      <c r="B415" s="120" t="s">
        <v>270</v>
      </c>
      <c r="C415" s="120" t="s">
        <v>53</v>
      </c>
      <c r="D415" s="9"/>
      <c r="E415" s="9"/>
      <c r="F415" s="130">
        <f>IF(E415="",0,IF(E415&gt;0,RANK(E415,E404:E417,1)))</f>
        <v>0</v>
      </c>
      <c r="G415" s="131">
        <f t="shared" si="71"/>
        <v>0</v>
      </c>
    </row>
    <row r="416" spans="1:9" ht="16.350000000000001" customHeight="1">
      <c r="A416" s="45">
        <v>5</v>
      </c>
      <c r="B416" s="120" t="s">
        <v>271</v>
      </c>
      <c r="C416" s="120" t="s">
        <v>56</v>
      </c>
      <c r="D416" s="9"/>
      <c r="E416" s="9"/>
      <c r="F416" s="130">
        <f>IF(E416="",0,IF(E416&gt;0,RANK(E416,E404:E417,1)))</f>
        <v>0</v>
      </c>
      <c r="G416" s="131">
        <f t="shared" si="71"/>
        <v>0</v>
      </c>
    </row>
    <row r="417" spans="1:9" ht="16.350000000000001" customHeight="1">
      <c r="A417" s="45">
        <v>6</v>
      </c>
      <c r="B417" s="23"/>
      <c r="C417" s="91"/>
      <c r="D417" s="9"/>
      <c r="E417" s="9"/>
      <c r="F417" s="130">
        <f>IF(E417="",0,IF(E417&gt;0,RANK(E417,E404:E417,1)))</f>
        <v>0</v>
      </c>
      <c r="G417" s="131">
        <f t="shared" si="71"/>
        <v>0</v>
      </c>
    </row>
    <row r="418" spans="1:9" ht="16.350000000000001" customHeight="1">
      <c r="A418" s="47" t="s">
        <v>272</v>
      </c>
      <c r="B418" s="18"/>
      <c r="C418" s="18"/>
      <c r="G418" s="48"/>
    </row>
    <row r="419" spans="1:9" ht="16.350000000000001" customHeight="1">
      <c r="A419" s="43" t="s">
        <v>0</v>
      </c>
      <c r="B419" s="7" t="s">
        <v>1</v>
      </c>
      <c r="C419" s="8" t="s">
        <v>4</v>
      </c>
      <c r="D419" s="7" t="s">
        <v>2</v>
      </c>
      <c r="E419" s="7" t="s">
        <v>6</v>
      </c>
      <c r="F419" s="7" t="s">
        <v>7</v>
      </c>
      <c r="G419" s="44" t="s">
        <v>8</v>
      </c>
    </row>
    <row r="420" spans="1:9" ht="16.350000000000001" customHeight="1">
      <c r="A420" s="45">
        <v>1</v>
      </c>
      <c r="B420" s="85"/>
      <c r="C420" s="85"/>
      <c r="D420" s="9"/>
      <c r="E420" s="9"/>
      <c r="F420" s="10">
        <f>IF(E420="",0,IF(E420&gt;0,RANK(E420,E420:E425,1)))</f>
        <v>0</v>
      </c>
      <c r="G420" s="46">
        <f>VLOOKUP(F420,$L$3:$M$33,2,0)</f>
        <v>0</v>
      </c>
    </row>
    <row r="421" spans="1:9" ht="16.350000000000001" customHeight="1">
      <c r="A421" s="45">
        <v>2</v>
      </c>
      <c r="B421" s="120" t="s">
        <v>273</v>
      </c>
      <c r="C421" s="120" t="s">
        <v>53</v>
      </c>
      <c r="D421" s="9"/>
      <c r="E421" s="9"/>
      <c r="F421" s="10">
        <f>IF(E421="",0,IF(E421&gt;0,RANK(E421,E420:E425,1)))</f>
        <v>0</v>
      </c>
      <c r="G421" s="46">
        <f t="shared" ref="G421:G425" si="72">VLOOKUP(F421,$L$3:$M$33,2,0)</f>
        <v>0</v>
      </c>
    </row>
    <row r="422" spans="1:9" ht="16.350000000000001" customHeight="1">
      <c r="A422" s="45">
        <v>3</v>
      </c>
      <c r="B422" s="120" t="s">
        <v>274</v>
      </c>
      <c r="C422" s="120" t="s">
        <v>275</v>
      </c>
      <c r="D422" s="9"/>
      <c r="E422" s="9"/>
      <c r="F422" s="10">
        <f>IF(E422="",0,IF(E422&gt;0,RANK(E422,E420:E425,1)))</f>
        <v>0</v>
      </c>
      <c r="G422" s="46">
        <f t="shared" si="72"/>
        <v>0</v>
      </c>
    </row>
    <row r="423" spans="1:9" ht="16.350000000000001" customHeight="1">
      <c r="A423" s="45">
        <v>4</v>
      </c>
      <c r="B423" s="120" t="s">
        <v>276</v>
      </c>
      <c r="C423" s="120" t="s">
        <v>277</v>
      </c>
      <c r="D423" s="9"/>
      <c r="E423" s="9"/>
      <c r="F423" s="10">
        <f>IF(E423="",0,IF(E423&gt;0,RANK(E423,E420:E425,1)))</f>
        <v>0</v>
      </c>
      <c r="G423" s="46">
        <f t="shared" si="72"/>
        <v>0</v>
      </c>
    </row>
    <row r="424" spans="1:9" ht="16.350000000000001" customHeight="1">
      <c r="A424" s="45">
        <v>5</v>
      </c>
      <c r="B424" s="85"/>
      <c r="C424" s="85"/>
      <c r="D424" s="9"/>
      <c r="E424" s="9"/>
      <c r="F424" s="10">
        <f>IF(E424="",0,IF(E424&gt;0,RANK(E424,E420:E425,1)))</f>
        <v>0</v>
      </c>
      <c r="G424" s="46">
        <f t="shared" si="72"/>
        <v>0</v>
      </c>
    </row>
    <row r="425" spans="1:9" ht="16.350000000000001" customHeight="1">
      <c r="A425" s="45">
        <v>6</v>
      </c>
      <c r="B425" s="90" t="s">
        <v>5</v>
      </c>
      <c r="C425" s="91" t="s">
        <v>5</v>
      </c>
      <c r="D425" s="9"/>
      <c r="E425" s="9"/>
      <c r="F425" s="10">
        <f>IF(E425="",0,IF(E425&gt;0,RANK(E425,E420:E425,1)))</f>
        <v>0</v>
      </c>
      <c r="G425" s="46">
        <f t="shared" si="72"/>
        <v>0</v>
      </c>
    </row>
    <row r="426" spans="1:9" ht="16.350000000000001" customHeight="1">
      <c r="A426" s="47" t="s">
        <v>278</v>
      </c>
      <c r="B426" s="18"/>
      <c r="C426" s="18"/>
      <c r="G426" s="48"/>
    </row>
    <row r="427" spans="1:9" ht="16.350000000000001" customHeight="1">
      <c r="A427" s="43" t="s">
        <v>0</v>
      </c>
      <c r="B427" s="7" t="s">
        <v>1</v>
      </c>
      <c r="C427" s="8" t="s">
        <v>4</v>
      </c>
      <c r="D427" s="7" t="s">
        <v>2</v>
      </c>
      <c r="E427" s="7" t="s">
        <v>6</v>
      </c>
      <c r="F427" s="7" t="s">
        <v>7</v>
      </c>
      <c r="G427" s="44" t="s">
        <v>8</v>
      </c>
      <c r="I427" s="110"/>
    </row>
    <row r="428" spans="1:9" ht="16.350000000000001" customHeight="1">
      <c r="A428" s="45">
        <v>1</v>
      </c>
      <c r="B428" s="90"/>
      <c r="C428" s="91"/>
      <c r="D428" s="9"/>
      <c r="E428" s="9"/>
      <c r="F428" s="10">
        <f>IF(E428="",0,IF(E428&gt;0,RANK(E428,$E$428:$E$433,1)))</f>
        <v>0</v>
      </c>
      <c r="G428" s="46">
        <f>VLOOKUP(F428,$L$3:$M$33,2,0)</f>
        <v>0</v>
      </c>
      <c r="I428" s="110"/>
    </row>
    <row r="429" spans="1:9" ht="16.350000000000001" customHeight="1">
      <c r="A429" s="45">
        <v>2</v>
      </c>
      <c r="B429" s="120" t="s">
        <v>232</v>
      </c>
      <c r="C429" s="120" t="s">
        <v>58</v>
      </c>
      <c r="D429" s="9"/>
      <c r="E429" s="9"/>
      <c r="F429" s="10">
        <f t="shared" ref="F429:F433" si="73">IF(E429="",0,IF(E429&gt;0,RANK(E429,$E$428:$E$433,1)))</f>
        <v>0</v>
      </c>
      <c r="G429" s="46">
        <f t="shared" ref="G429:G433" si="74">VLOOKUP(F429,$L$3:$M$33,2,0)</f>
        <v>0</v>
      </c>
      <c r="I429" s="110"/>
    </row>
    <row r="430" spans="1:9" ht="16.350000000000001" customHeight="1">
      <c r="A430" s="45">
        <v>3</v>
      </c>
      <c r="B430" s="120" t="s">
        <v>279</v>
      </c>
      <c r="C430" s="120" t="s">
        <v>280</v>
      </c>
      <c r="D430" s="9"/>
      <c r="E430" s="9"/>
      <c r="F430" s="10">
        <f t="shared" si="73"/>
        <v>0</v>
      </c>
      <c r="G430" s="46">
        <f t="shared" si="74"/>
        <v>0</v>
      </c>
      <c r="I430" s="110"/>
    </row>
    <row r="431" spans="1:9" ht="16.350000000000001" customHeight="1">
      <c r="A431" s="45">
        <v>4</v>
      </c>
      <c r="B431" s="120" t="s">
        <v>281</v>
      </c>
      <c r="C431" s="120" t="s">
        <v>56</v>
      </c>
      <c r="D431" s="9"/>
      <c r="E431" s="9"/>
      <c r="F431" s="10">
        <f t="shared" si="73"/>
        <v>0</v>
      </c>
      <c r="G431" s="46">
        <f t="shared" si="74"/>
        <v>0</v>
      </c>
      <c r="I431" s="110"/>
    </row>
    <row r="432" spans="1:9" ht="16.350000000000001" customHeight="1">
      <c r="A432" s="45">
        <v>5</v>
      </c>
      <c r="B432" s="85"/>
      <c r="C432" s="85"/>
      <c r="D432" s="9"/>
      <c r="E432" s="9"/>
      <c r="F432" s="10">
        <f t="shared" si="73"/>
        <v>0</v>
      </c>
      <c r="G432" s="46">
        <f t="shared" si="74"/>
        <v>0</v>
      </c>
      <c r="I432" s="110"/>
    </row>
    <row r="433" spans="1:9" ht="16.350000000000001" customHeight="1">
      <c r="A433" s="45">
        <v>6</v>
      </c>
      <c r="B433" s="90"/>
      <c r="C433" s="91"/>
      <c r="D433" s="9"/>
      <c r="E433" s="9"/>
      <c r="F433" s="10">
        <f t="shared" si="73"/>
        <v>0</v>
      </c>
      <c r="G433" s="46">
        <f t="shared" si="74"/>
        <v>0</v>
      </c>
      <c r="I433" s="110"/>
    </row>
    <row r="434" spans="1:9" ht="16.350000000000001" customHeight="1">
      <c r="A434" s="47" t="s">
        <v>282</v>
      </c>
      <c r="B434" s="18"/>
      <c r="C434" s="18"/>
      <c r="G434" s="48"/>
      <c r="I434" s="110"/>
    </row>
    <row r="435" spans="1:9" ht="16.350000000000001" customHeight="1">
      <c r="A435" s="43" t="s">
        <v>0</v>
      </c>
      <c r="B435" s="7" t="s">
        <v>1</v>
      </c>
      <c r="C435" s="8" t="s">
        <v>4</v>
      </c>
      <c r="D435" s="7" t="s">
        <v>2</v>
      </c>
      <c r="E435" s="7" t="s">
        <v>6</v>
      </c>
      <c r="F435" s="7" t="s">
        <v>7</v>
      </c>
      <c r="G435" s="44" t="s">
        <v>8</v>
      </c>
      <c r="I435" s="110"/>
    </row>
    <row r="436" spans="1:9" ht="16.350000000000001" customHeight="1">
      <c r="A436" s="45">
        <v>1</v>
      </c>
      <c r="B436" s="90"/>
      <c r="C436" s="91"/>
      <c r="D436" s="9"/>
      <c r="E436" s="9"/>
      <c r="F436" s="10">
        <f>IF(E436="",0,IF(E436&gt;0,RANK(E436,$E$436:$E$441,1)))</f>
        <v>0</v>
      </c>
      <c r="G436" s="46">
        <f>VLOOKUP(F436,$L$3:$M$33,2,0)</f>
        <v>0</v>
      </c>
      <c r="I436" s="110"/>
    </row>
    <row r="437" spans="1:9" ht="16.350000000000001" customHeight="1">
      <c r="A437" s="45">
        <v>2</v>
      </c>
      <c r="B437" s="85"/>
      <c r="C437" s="85"/>
      <c r="D437" s="9"/>
      <c r="E437" s="9"/>
      <c r="F437" s="10">
        <f t="shared" ref="F437:F441" si="75">IF(E437="",0,IF(E437&gt;0,RANK(E437,$E$436:$E$441,1)))</f>
        <v>0</v>
      </c>
      <c r="G437" s="46">
        <f t="shared" ref="G437:G441" si="76">VLOOKUP(F437,$L$3:$M$33,2,0)</f>
        <v>0</v>
      </c>
      <c r="I437" s="110"/>
    </row>
    <row r="438" spans="1:9" ht="16.350000000000001" customHeight="1">
      <c r="A438" s="45">
        <v>3</v>
      </c>
      <c r="B438" s="120" t="s">
        <v>31</v>
      </c>
      <c r="C438" s="120" t="s">
        <v>56</v>
      </c>
      <c r="D438" s="9"/>
      <c r="E438" s="9"/>
      <c r="F438" s="10">
        <f t="shared" si="75"/>
        <v>0</v>
      </c>
      <c r="G438" s="46">
        <f t="shared" si="76"/>
        <v>0</v>
      </c>
      <c r="I438" s="110"/>
    </row>
    <row r="439" spans="1:9" ht="16.350000000000001" customHeight="1">
      <c r="A439" s="45">
        <v>4</v>
      </c>
      <c r="B439" s="120" t="s">
        <v>124</v>
      </c>
      <c r="C439" s="120" t="s">
        <v>283</v>
      </c>
      <c r="D439" s="9"/>
      <c r="E439" s="9"/>
      <c r="F439" s="10">
        <f t="shared" si="75"/>
        <v>0</v>
      </c>
      <c r="G439" s="46">
        <f t="shared" si="76"/>
        <v>0</v>
      </c>
      <c r="I439" s="110"/>
    </row>
    <row r="440" spans="1:9" ht="16.350000000000001" customHeight="1">
      <c r="A440" s="45">
        <v>5</v>
      </c>
      <c r="B440" s="85"/>
      <c r="C440" s="85"/>
      <c r="D440" s="9"/>
      <c r="E440" s="9"/>
      <c r="F440" s="10">
        <f t="shared" si="75"/>
        <v>0</v>
      </c>
      <c r="G440" s="46">
        <f t="shared" si="76"/>
        <v>0</v>
      </c>
      <c r="I440" s="110"/>
    </row>
    <row r="441" spans="1:9" ht="16.350000000000001" customHeight="1">
      <c r="A441" s="45">
        <v>6</v>
      </c>
      <c r="B441" s="90" t="s">
        <v>5</v>
      </c>
      <c r="C441" s="91" t="s">
        <v>5</v>
      </c>
      <c r="D441" s="9"/>
      <c r="E441" s="9"/>
      <c r="F441" s="10">
        <f t="shared" si="75"/>
        <v>0</v>
      </c>
      <c r="G441" s="46">
        <f t="shared" si="76"/>
        <v>0</v>
      </c>
      <c r="I441" s="110"/>
    </row>
    <row r="442" spans="1:9" ht="16.350000000000001" customHeight="1">
      <c r="A442" s="47" t="s">
        <v>284</v>
      </c>
      <c r="B442" s="18"/>
      <c r="C442" s="18"/>
      <c r="G442" s="48"/>
    </row>
    <row r="443" spans="1:9" ht="16.350000000000001" customHeight="1">
      <c r="A443" s="43" t="s">
        <v>0</v>
      </c>
      <c r="B443" s="7" t="s">
        <v>1</v>
      </c>
      <c r="C443" s="8" t="s">
        <v>4</v>
      </c>
      <c r="D443" s="7" t="s">
        <v>2</v>
      </c>
      <c r="E443" s="7" t="s">
        <v>6</v>
      </c>
      <c r="F443" s="7" t="s">
        <v>7</v>
      </c>
      <c r="G443" s="44" t="s">
        <v>8</v>
      </c>
      <c r="I443" s="110"/>
    </row>
    <row r="444" spans="1:9" ht="16.350000000000001" customHeight="1">
      <c r="A444" s="45">
        <v>1</v>
      </c>
      <c r="B444" s="126" t="s">
        <v>285</v>
      </c>
      <c r="C444" s="126" t="s">
        <v>98</v>
      </c>
      <c r="D444" s="9"/>
      <c r="E444" s="9"/>
      <c r="F444" s="10">
        <f>IF(E444="",0,IF(E444&gt;0,RANK(E444,$E$444:$E$449,1)))</f>
        <v>0</v>
      </c>
      <c r="G444" s="46">
        <f>VLOOKUP(F444,$L$3:$M$33,2,0)</f>
        <v>0</v>
      </c>
      <c r="I444" s="110"/>
    </row>
    <row r="445" spans="1:9" ht="16.350000000000001" customHeight="1">
      <c r="A445" s="45">
        <v>2</v>
      </c>
      <c r="B445" s="120" t="s">
        <v>210</v>
      </c>
      <c r="C445" s="120" t="s">
        <v>15</v>
      </c>
      <c r="D445" s="9"/>
      <c r="E445" s="9"/>
      <c r="F445" s="10">
        <f t="shared" ref="F445:F449" si="77">IF(E445="",0,IF(E445&gt;0,RANK(E445,$E$444:$E$449,1)))</f>
        <v>0</v>
      </c>
      <c r="G445" s="46">
        <f t="shared" ref="G445:G449" si="78">VLOOKUP(F445,$L$3:$M$33,2,0)</f>
        <v>0</v>
      </c>
      <c r="I445" s="110"/>
    </row>
    <row r="446" spans="1:9" ht="16.350000000000001" customHeight="1">
      <c r="A446" s="45">
        <v>3</v>
      </c>
      <c r="B446" s="127" t="s">
        <v>286</v>
      </c>
      <c r="C446" s="120" t="s">
        <v>60</v>
      </c>
      <c r="D446" s="9"/>
      <c r="E446" s="9"/>
      <c r="F446" s="10">
        <f t="shared" si="77"/>
        <v>0</v>
      </c>
      <c r="G446" s="46">
        <f t="shared" si="78"/>
        <v>0</v>
      </c>
      <c r="I446" s="110"/>
    </row>
    <row r="447" spans="1:9" ht="16.350000000000001" customHeight="1">
      <c r="A447" s="45">
        <v>4</v>
      </c>
      <c r="B447" s="120" t="s">
        <v>38</v>
      </c>
      <c r="C447" s="120" t="s">
        <v>58</v>
      </c>
      <c r="D447" s="9"/>
      <c r="E447" s="9"/>
      <c r="F447" s="10">
        <f t="shared" si="77"/>
        <v>0</v>
      </c>
      <c r="G447" s="46">
        <f t="shared" si="78"/>
        <v>0</v>
      </c>
      <c r="I447" s="110"/>
    </row>
    <row r="448" spans="1:9" ht="16.350000000000001" customHeight="1">
      <c r="A448" s="45">
        <v>5</v>
      </c>
      <c r="B448" s="120" t="s">
        <v>148</v>
      </c>
      <c r="C448" s="120" t="s">
        <v>88</v>
      </c>
      <c r="D448" s="9"/>
      <c r="E448" s="9"/>
      <c r="F448" s="10">
        <f t="shared" si="77"/>
        <v>0</v>
      </c>
      <c r="G448" s="46">
        <f t="shared" si="78"/>
        <v>0</v>
      </c>
      <c r="I448" s="110"/>
    </row>
    <row r="449" spans="1:12" ht="16.350000000000001" customHeight="1">
      <c r="A449" s="45">
        <v>6</v>
      </c>
      <c r="B449" s="90" t="s">
        <v>5</v>
      </c>
      <c r="C449" s="91" t="s">
        <v>5</v>
      </c>
      <c r="D449" s="9"/>
      <c r="E449" s="9"/>
      <c r="F449" s="10">
        <f t="shared" si="77"/>
        <v>0</v>
      </c>
      <c r="G449" s="46">
        <f t="shared" si="78"/>
        <v>0</v>
      </c>
      <c r="I449" s="110"/>
    </row>
    <row r="450" spans="1:12" ht="16.350000000000001" customHeight="1">
      <c r="A450" s="47" t="s">
        <v>287</v>
      </c>
      <c r="B450" s="18"/>
      <c r="C450" s="18"/>
      <c r="G450" s="48"/>
      <c r="I450" s="110"/>
    </row>
    <row r="451" spans="1:12" ht="16.350000000000001" customHeight="1">
      <c r="A451" s="43" t="s">
        <v>0</v>
      </c>
      <c r="B451" s="7" t="s">
        <v>1</v>
      </c>
      <c r="C451" s="8" t="s">
        <v>4</v>
      </c>
      <c r="D451" s="7" t="s">
        <v>2</v>
      </c>
      <c r="E451" s="7" t="s">
        <v>6</v>
      </c>
      <c r="F451" s="7" t="s">
        <v>7</v>
      </c>
      <c r="G451" s="44" t="s">
        <v>8</v>
      </c>
      <c r="I451" s="110"/>
    </row>
    <row r="452" spans="1:12" ht="16.350000000000001" customHeight="1">
      <c r="A452" s="45">
        <v>1</v>
      </c>
      <c r="B452" s="85"/>
      <c r="C452" s="85"/>
      <c r="D452" s="9"/>
      <c r="E452" s="9"/>
      <c r="F452" s="10">
        <f>IF(E452="",0,IF(E452&gt;0,RANK(E452,$E$452:$E$457,1)))</f>
        <v>0</v>
      </c>
      <c r="G452" s="46">
        <f>VLOOKUP(F452,$L$3:$M$33,2,0)</f>
        <v>0</v>
      </c>
      <c r="I452" s="110"/>
    </row>
    <row r="453" spans="1:12" ht="16.350000000000001" customHeight="1">
      <c r="A453" s="45">
        <v>2</v>
      </c>
      <c r="B453" s="85"/>
      <c r="C453" s="85"/>
      <c r="D453" s="9"/>
      <c r="E453" s="9"/>
      <c r="F453" s="10">
        <f t="shared" ref="F453:F457" si="79">IF(E453="",0,IF(E453&gt;0,RANK(E453,$E$452:$E$457,1)))</f>
        <v>0</v>
      </c>
      <c r="G453" s="46">
        <f t="shared" ref="G453:G457" si="80">VLOOKUP(F453,$L$3:$M$33,2,0)</f>
        <v>0</v>
      </c>
      <c r="I453" s="110"/>
    </row>
    <row r="454" spans="1:12" ht="16.350000000000001" customHeight="1">
      <c r="A454" s="45">
        <v>3</v>
      </c>
      <c r="B454" s="120" t="s">
        <v>288</v>
      </c>
      <c r="C454" s="120" t="s">
        <v>201</v>
      </c>
      <c r="D454" s="9"/>
      <c r="E454" s="9"/>
      <c r="F454" s="10">
        <f t="shared" si="79"/>
        <v>0</v>
      </c>
      <c r="G454" s="46">
        <f t="shared" si="80"/>
        <v>0</v>
      </c>
      <c r="I454" s="110"/>
    </row>
    <row r="455" spans="1:12" ht="16.350000000000001" customHeight="1">
      <c r="A455" s="45">
        <v>4</v>
      </c>
      <c r="B455" s="85"/>
      <c r="C455" s="85"/>
      <c r="D455" s="9"/>
      <c r="E455" s="9"/>
      <c r="F455" s="10">
        <f t="shared" si="79"/>
        <v>0</v>
      </c>
      <c r="G455" s="46">
        <f t="shared" si="80"/>
        <v>0</v>
      </c>
      <c r="I455" s="110"/>
      <c r="L455" s="93"/>
    </row>
    <row r="456" spans="1:12" ht="16.350000000000001" customHeight="1">
      <c r="A456" s="45">
        <v>5</v>
      </c>
      <c r="B456" s="85"/>
      <c r="C456" s="85"/>
      <c r="D456" s="9"/>
      <c r="E456" s="9"/>
      <c r="F456" s="10">
        <f t="shared" si="79"/>
        <v>0</v>
      </c>
      <c r="G456" s="46">
        <f t="shared" si="80"/>
        <v>0</v>
      </c>
      <c r="I456" s="110"/>
    </row>
    <row r="457" spans="1:12" ht="16.350000000000001" customHeight="1">
      <c r="A457" s="45">
        <v>6</v>
      </c>
      <c r="B457" s="85"/>
      <c r="C457" s="85"/>
      <c r="D457" s="9"/>
      <c r="E457" s="9"/>
      <c r="F457" s="10">
        <f t="shared" si="79"/>
        <v>0</v>
      </c>
      <c r="G457" s="46">
        <f t="shared" si="80"/>
        <v>0</v>
      </c>
      <c r="I457" s="110"/>
    </row>
    <row r="458" spans="1:12" ht="16.350000000000001" customHeight="1">
      <c r="A458" s="47" t="s">
        <v>292</v>
      </c>
      <c r="B458" s="5"/>
      <c r="C458" s="4"/>
      <c r="G458" s="48"/>
    </row>
    <row r="459" spans="1:12" ht="16.350000000000001" customHeight="1">
      <c r="A459" s="43" t="s">
        <v>0</v>
      </c>
      <c r="B459" s="7" t="s">
        <v>1</v>
      </c>
      <c r="C459" s="8" t="s">
        <v>4</v>
      </c>
      <c r="D459" s="7" t="s">
        <v>2</v>
      </c>
      <c r="E459" s="7" t="s">
        <v>6</v>
      </c>
      <c r="F459" s="128" t="s">
        <v>7</v>
      </c>
      <c r="G459" s="129" t="s">
        <v>8</v>
      </c>
      <c r="I459" s="110"/>
    </row>
    <row r="460" spans="1:12" ht="16.350000000000001" customHeight="1">
      <c r="A460" s="45">
        <v>1</v>
      </c>
      <c r="B460" s="120" t="s">
        <v>219</v>
      </c>
      <c r="C460" s="120" t="s">
        <v>15</v>
      </c>
      <c r="D460" s="9"/>
      <c r="E460" s="9"/>
      <c r="F460" s="130">
        <f>IF(E460="",0,IF(E460&gt;0,RANK(E460,$E$460:$E$481,1)))</f>
        <v>0</v>
      </c>
      <c r="G460" s="131">
        <f>VLOOKUP(F460,$L$3:$M$33,2,0)</f>
        <v>0</v>
      </c>
      <c r="I460" s="110"/>
      <c r="L460" s="94"/>
    </row>
    <row r="461" spans="1:12" ht="16.350000000000001" customHeight="1">
      <c r="A461" s="45">
        <v>2</v>
      </c>
      <c r="B461" s="120" t="s">
        <v>93</v>
      </c>
      <c r="C461" s="125" t="s">
        <v>15</v>
      </c>
      <c r="D461" s="9"/>
      <c r="E461" s="9"/>
      <c r="F461" s="130">
        <f t="shared" ref="F461:F465" si="81">IF(E461="",0,IF(E461&gt;0,RANK(E461,$E$460:$E$481,1)))</f>
        <v>0</v>
      </c>
      <c r="G461" s="131">
        <f t="shared" ref="G461:G465" si="82">VLOOKUP(F461,$L$3:$M$33,2,0)</f>
        <v>0</v>
      </c>
      <c r="H461" s="31">
        <v>770803</v>
      </c>
      <c r="I461" s="111"/>
      <c r="J461" s="101"/>
      <c r="K461" s="101"/>
    </row>
    <row r="462" spans="1:12" ht="16.350000000000001" customHeight="1">
      <c r="A462" s="45">
        <v>3</v>
      </c>
      <c r="B462" s="120" t="s">
        <v>160</v>
      </c>
      <c r="C462" s="120" t="s">
        <v>60</v>
      </c>
      <c r="D462" s="9"/>
      <c r="E462" s="9"/>
      <c r="F462" s="130">
        <f t="shared" si="81"/>
        <v>0</v>
      </c>
      <c r="G462" s="131">
        <f t="shared" si="82"/>
        <v>0</v>
      </c>
      <c r="H462" s="31"/>
      <c r="I462" s="111"/>
      <c r="J462" s="101"/>
      <c r="K462" s="101"/>
    </row>
    <row r="463" spans="1:12" ht="16.350000000000001" customHeight="1">
      <c r="A463" s="45">
        <v>4</v>
      </c>
      <c r="B463" s="120" t="s">
        <v>161</v>
      </c>
      <c r="C463" s="120" t="s">
        <v>60</v>
      </c>
      <c r="D463" s="9"/>
      <c r="E463" s="9"/>
      <c r="F463" s="130">
        <f t="shared" si="81"/>
        <v>0</v>
      </c>
      <c r="G463" s="131">
        <f t="shared" si="82"/>
        <v>0</v>
      </c>
      <c r="H463" s="31"/>
      <c r="I463" s="111"/>
      <c r="J463" s="101"/>
      <c r="K463" s="101"/>
    </row>
    <row r="464" spans="1:12" ht="16.350000000000001" customHeight="1">
      <c r="A464" s="45">
        <v>5</v>
      </c>
      <c r="B464" s="120" t="s">
        <v>220</v>
      </c>
      <c r="C464" s="120" t="s">
        <v>53</v>
      </c>
      <c r="D464" s="9"/>
      <c r="E464" s="9"/>
      <c r="F464" s="130">
        <f t="shared" si="81"/>
        <v>0</v>
      </c>
      <c r="G464" s="131">
        <f t="shared" si="82"/>
        <v>0</v>
      </c>
      <c r="H464" s="31">
        <v>821122</v>
      </c>
      <c r="I464" s="111"/>
      <c r="J464" s="101"/>
      <c r="K464" s="101"/>
    </row>
    <row r="465" spans="1:11" ht="16.350000000000001" customHeight="1">
      <c r="A465" s="45">
        <v>6</v>
      </c>
      <c r="B465" s="120"/>
      <c r="C465" s="120"/>
      <c r="D465" s="9"/>
      <c r="E465" s="9"/>
      <c r="F465" s="130">
        <f t="shared" si="81"/>
        <v>0</v>
      </c>
      <c r="G465" s="131">
        <f t="shared" si="82"/>
        <v>0</v>
      </c>
      <c r="I465" s="110"/>
    </row>
    <row r="466" spans="1:11" ht="16.350000000000001" customHeight="1">
      <c r="A466" s="47" t="s">
        <v>293</v>
      </c>
      <c r="B466" s="5"/>
      <c r="C466" s="4"/>
      <c r="F466" s="133"/>
      <c r="G466" s="132"/>
      <c r="I466" s="110"/>
    </row>
    <row r="467" spans="1:11" ht="16.350000000000001" customHeight="1">
      <c r="A467" s="43" t="s">
        <v>0</v>
      </c>
      <c r="B467" s="7" t="s">
        <v>1</v>
      </c>
      <c r="C467" s="8" t="s">
        <v>4</v>
      </c>
      <c r="D467" s="7" t="s">
        <v>2</v>
      </c>
      <c r="E467" s="7" t="s">
        <v>6</v>
      </c>
      <c r="F467" s="128" t="s">
        <v>7</v>
      </c>
      <c r="G467" s="129" t="s">
        <v>8</v>
      </c>
      <c r="I467" s="110"/>
    </row>
    <row r="468" spans="1:11" ht="16.350000000000001" customHeight="1">
      <c r="A468" s="45">
        <v>1</v>
      </c>
      <c r="B468" s="120" t="s">
        <v>243</v>
      </c>
      <c r="C468" s="120" t="s">
        <v>56</v>
      </c>
      <c r="D468" s="9"/>
      <c r="E468" s="9"/>
      <c r="F468" s="130">
        <f>IF(E468="",0,IF(E468&gt;0,RANK(E468,$E$460:$E$481,1)))</f>
        <v>0</v>
      </c>
      <c r="G468" s="131">
        <f>VLOOKUP(F468,$L$3:$M$33,2,0)</f>
        <v>0</v>
      </c>
      <c r="I468" s="110"/>
    </row>
    <row r="469" spans="1:11" ht="16.350000000000001" customHeight="1">
      <c r="A469" s="45">
        <v>2</v>
      </c>
      <c r="B469" s="120" t="s">
        <v>221</v>
      </c>
      <c r="C469" s="120" t="s">
        <v>53</v>
      </c>
      <c r="D469" s="77"/>
      <c r="E469" s="9"/>
      <c r="F469" s="130">
        <f t="shared" ref="F469:F473" si="83">IF(E469="",0,IF(E469&gt;0,RANK(E469,$E$460:$E$481,1)))</f>
        <v>0</v>
      </c>
      <c r="G469" s="131">
        <f t="shared" ref="G469:G473" si="84">VLOOKUP(F469,$L$3:$M$33,2,0)</f>
        <v>0</v>
      </c>
      <c r="H469" s="31">
        <v>770803</v>
      </c>
      <c r="I469" s="111"/>
      <c r="J469" s="101"/>
      <c r="K469" s="101"/>
    </row>
    <row r="470" spans="1:11" ht="16.350000000000001" customHeight="1">
      <c r="A470" s="45">
        <v>3</v>
      </c>
      <c r="B470" s="136" t="s">
        <v>290</v>
      </c>
      <c r="C470" s="136" t="s">
        <v>71</v>
      </c>
      <c r="D470" s="77"/>
      <c r="E470" s="9"/>
      <c r="F470" s="130">
        <f t="shared" si="83"/>
        <v>0</v>
      </c>
      <c r="G470" s="131">
        <f t="shared" si="84"/>
        <v>0</v>
      </c>
      <c r="H470" s="31"/>
      <c r="I470" s="111"/>
      <c r="J470" s="101"/>
      <c r="K470" s="101"/>
    </row>
    <row r="471" spans="1:11" ht="16.350000000000001" customHeight="1">
      <c r="A471" s="45">
        <v>4</v>
      </c>
      <c r="B471" s="120" t="s">
        <v>96</v>
      </c>
      <c r="C471" s="120" t="s">
        <v>56</v>
      </c>
      <c r="D471" s="9"/>
      <c r="E471" s="9"/>
      <c r="F471" s="130">
        <f t="shared" si="83"/>
        <v>0</v>
      </c>
      <c r="G471" s="131">
        <f t="shared" si="84"/>
        <v>0</v>
      </c>
      <c r="H471" s="31"/>
      <c r="I471" s="111"/>
      <c r="J471" s="101"/>
      <c r="K471" s="101"/>
    </row>
    <row r="472" spans="1:11" ht="16.350000000000001" customHeight="1">
      <c r="A472" s="45">
        <v>5</v>
      </c>
      <c r="B472" s="120" t="s">
        <v>25</v>
      </c>
      <c r="C472" s="120" t="s">
        <v>56</v>
      </c>
      <c r="D472" s="9"/>
      <c r="E472" s="9"/>
      <c r="F472" s="130">
        <f t="shared" si="83"/>
        <v>0</v>
      </c>
      <c r="G472" s="131">
        <f t="shared" si="84"/>
        <v>0</v>
      </c>
      <c r="H472" s="31">
        <v>821122</v>
      </c>
      <c r="I472" s="111"/>
      <c r="J472" s="101"/>
      <c r="K472" s="101"/>
    </row>
    <row r="473" spans="1:11" ht="16.350000000000001" customHeight="1">
      <c r="A473" s="45">
        <v>6</v>
      </c>
      <c r="B473" s="120"/>
      <c r="C473" s="120"/>
      <c r="D473" s="9"/>
      <c r="E473" s="9"/>
      <c r="F473" s="130">
        <f t="shared" si="83"/>
        <v>0</v>
      </c>
      <c r="G473" s="131">
        <f t="shared" si="84"/>
        <v>0</v>
      </c>
      <c r="I473" s="110"/>
    </row>
    <row r="474" spans="1:11" ht="16.350000000000001" customHeight="1">
      <c r="A474" s="47" t="s">
        <v>294</v>
      </c>
      <c r="B474" s="5"/>
      <c r="C474" s="4"/>
      <c r="F474" s="133"/>
      <c r="G474" s="132"/>
    </row>
    <row r="475" spans="1:11" ht="16.350000000000001" customHeight="1">
      <c r="A475" s="43" t="s">
        <v>0</v>
      </c>
      <c r="B475" s="7" t="s">
        <v>1</v>
      </c>
      <c r="C475" s="8" t="s">
        <v>4</v>
      </c>
      <c r="D475" s="7" t="s">
        <v>2</v>
      </c>
      <c r="E475" s="7" t="s">
        <v>6</v>
      </c>
      <c r="F475" s="128" t="s">
        <v>7</v>
      </c>
      <c r="G475" s="129" t="s">
        <v>8</v>
      </c>
    </row>
    <row r="476" spans="1:11" ht="16.350000000000001" customHeight="1">
      <c r="A476" s="45">
        <v>1</v>
      </c>
      <c r="B476" s="120"/>
      <c r="C476" s="120"/>
      <c r="D476" s="9"/>
      <c r="E476" s="9"/>
      <c r="F476" s="130">
        <f>IF(E476="",0,IF(E476&gt;0,RANK(E476,E460:E481,1)))</f>
        <v>0</v>
      </c>
      <c r="G476" s="131">
        <f>VLOOKUP(F476,$L$3:$M$33,2,0)</f>
        <v>0</v>
      </c>
    </row>
    <row r="477" spans="1:11" ht="16.350000000000001" customHeight="1">
      <c r="A477" s="45">
        <v>2</v>
      </c>
      <c r="B477" s="120" t="s">
        <v>223</v>
      </c>
      <c r="C477" s="120" t="s">
        <v>13</v>
      </c>
      <c r="D477" s="9"/>
      <c r="E477" s="9"/>
      <c r="F477" s="130">
        <f>IF(E477="",0,IF(E477&gt;0,RANK(E477,E460:E481,1)))</f>
        <v>0</v>
      </c>
      <c r="G477" s="131">
        <f t="shared" ref="G477:G481" si="85">VLOOKUP(F477,$L$3:$M$33,2,0)</f>
        <v>0</v>
      </c>
      <c r="H477" s="31">
        <v>770803</v>
      </c>
      <c r="I477" s="101"/>
      <c r="J477" s="101"/>
      <c r="K477" s="101"/>
    </row>
    <row r="478" spans="1:11" ht="16.350000000000001" customHeight="1">
      <c r="A478" s="45">
        <v>3</v>
      </c>
      <c r="B478" s="120" t="s">
        <v>222</v>
      </c>
      <c r="C478" s="120" t="s">
        <v>56</v>
      </c>
      <c r="D478" s="9"/>
      <c r="E478" s="9"/>
      <c r="F478" s="130">
        <f>IF(E478="",0,IF(E478&gt;0,RANK(E478,E460:E481,1)))</f>
        <v>0</v>
      </c>
      <c r="G478" s="131">
        <f t="shared" si="85"/>
        <v>0</v>
      </c>
      <c r="H478" s="31">
        <v>770325</v>
      </c>
      <c r="I478" s="101"/>
      <c r="J478" s="101"/>
      <c r="K478" s="101"/>
    </row>
    <row r="479" spans="1:11" ht="16.350000000000001" customHeight="1">
      <c r="A479" s="45">
        <v>4</v>
      </c>
      <c r="B479" s="120" t="s">
        <v>289</v>
      </c>
      <c r="C479" s="120" t="s">
        <v>53</v>
      </c>
      <c r="D479" s="9"/>
      <c r="E479" s="9"/>
      <c r="F479" s="130">
        <f>IF(E479="",0,IF(E479&gt;0,RANK(E479,E460:E481,1)))</f>
        <v>0</v>
      </c>
      <c r="G479" s="131">
        <f t="shared" si="85"/>
        <v>0</v>
      </c>
      <c r="H479" s="31">
        <v>810915</v>
      </c>
      <c r="I479" s="101"/>
      <c r="J479" s="101"/>
      <c r="K479" s="101"/>
    </row>
    <row r="480" spans="1:11" ht="16.350000000000001" customHeight="1">
      <c r="A480" s="45">
        <v>5</v>
      </c>
      <c r="B480" s="120" t="s">
        <v>163</v>
      </c>
      <c r="C480" s="120" t="s">
        <v>82</v>
      </c>
      <c r="D480" s="3"/>
      <c r="E480" s="9"/>
      <c r="F480" s="130">
        <f>IF(E480="",0,IF(E480&gt;0,RANK(E480,E460:E481,1)))</f>
        <v>0</v>
      </c>
      <c r="G480" s="131">
        <f t="shared" si="85"/>
        <v>0</v>
      </c>
      <c r="H480" s="31">
        <v>821122</v>
      </c>
      <c r="I480" s="101"/>
      <c r="J480" s="101"/>
      <c r="K480" s="101"/>
    </row>
    <row r="481" spans="1:11" ht="16.350000000000001" customHeight="1">
      <c r="A481" s="45">
        <v>6</v>
      </c>
      <c r="B481" s="85"/>
      <c r="C481" s="85"/>
      <c r="D481" s="9"/>
      <c r="E481" s="9"/>
      <c r="F481" s="130">
        <f>IF(E481="",0,IF(E481&gt;0,RANK(E481,E460:E481,1)))</f>
        <v>0</v>
      </c>
      <c r="G481" s="131">
        <f t="shared" si="85"/>
        <v>0</v>
      </c>
    </row>
    <row r="482" spans="1:11" ht="16.350000000000001" customHeight="1">
      <c r="A482" s="47" t="s">
        <v>295</v>
      </c>
      <c r="B482" s="5"/>
      <c r="C482" s="4"/>
      <c r="G482" s="48"/>
    </row>
    <row r="483" spans="1:11" ht="16.350000000000001" customHeight="1">
      <c r="A483" s="43" t="s">
        <v>0</v>
      </c>
      <c r="B483" s="7" t="s">
        <v>1</v>
      </c>
      <c r="C483" s="8" t="s">
        <v>4</v>
      </c>
      <c r="D483" s="7" t="s">
        <v>2</v>
      </c>
      <c r="E483" s="7" t="s">
        <v>6</v>
      </c>
      <c r="F483" s="128" t="s">
        <v>7</v>
      </c>
      <c r="G483" s="129" t="s">
        <v>8</v>
      </c>
    </row>
    <row r="484" spans="1:11" ht="16.350000000000001" customHeight="1">
      <c r="A484" s="45">
        <v>1</v>
      </c>
      <c r="B484" s="126" t="s">
        <v>164</v>
      </c>
      <c r="C484" s="126" t="s">
        <v>98</v>
      </c>
      <c r="D484" s="9"/>
      <c r="E484" s="9"/>
      <c r="F484" s="130">
        <f>IF(E484="",0,IF(E484&gt;0,RANK(E484,E484:E513,1)))</f>
        <v>0</v>
      </c>
      <c r="G484" s="131">
        <f>VLOOKUP(F484,$L$3:$M$33,2,0)</f>
        <v>0</v>
      </c>
    </row>
    <row r="485" spans="1:11" ht="16.350000000000001" customHeight="1">
      <c r="A485" s="45">
        <v>2</v>
      </c>
      <c r="B485" s="120" t="s">
        <v>226</v>
      </c>
      <c r="C485" s="120" t="s">
        <v>15</v>
      </c>
      <c r="D485" s="9"/>
      <c r="E485" s="9"/>
      <c r="F485" s="130">
        <f>IF(E485="",0,IF(E485&gt;0,RANK(E485,E484:E513,1)))</f>
        <v>0</v>
      </c>
      <c r="G485" s="131">
        <f t="shared" ref="G485:G489" si="86">VLOOKUP(F485,$L$3:$M$33,2,0)</f>
        <v>0</v>
      </c>
      <c r="H485" s="31">
        <v>770803</v>
      </c>
      <c r="I485" s="101"/>
      <c r="J485" s="101"/>
      <c r="K485" s="101"/>
    </row>
    <row r="486" spans="1:11" ht="16.350000000000001" customHeight="1">
      <c r="A486" s="45">
        <v>3</v>
      </c>
      <c r="B486" s="120" t="s">
        <v>28</v>
      </c>
      <c r="C486" s="120" t="s">
        <v>60</v>
      </c>
      <c r="D486" s="9"/>
      <c r="E486" s="9"/>
      <c r="F486" s="130">
        <f>IF(E486="",0,IF(E486&gt;0,RANK(E486,E484:E513,1)))</f>
        <v>0</v>
      </c>
      <c r="G486" s="131">
        <f t="shared" si="86"/>
        <v>0</v>
      </c>
      <c r="H486" s="31">
        <v>770325</v>
      </c>
      <c r="I486" s="101"/>
      <c r="J486" s="101"/>
      <c r="K486" s="101"/>
    </row>
    <row r="487" spans="1:11" ht="16.350000000000001" customHeight="1">
      <c r="A487" s="45">
        <v>4</v>
      </c>
      <c r="B487" s="120" t="s">
        <v>291</v>
      </c>
      <c r="C487" s="120" t="s">
        <v>53</v>
      </c>
      <c r="D487" s="9"/>
      <c r="E487" s="9"/>
      <c r="F487" s="130">
        <f>IF(E487="",0,IF(E487&gt;0,RANK(E487,E484:E513,1)))</f>
        <v>0</v>
      </c>
      <c r="G487" s="131">
        <f t="shared" si="86"/>
        <v>0</v>
      </c>
      <c r="H487" s="31">
        <v>810915</v>
      </c>
      <c r="I487" s="101"/>
      <c r="J487" s="101"/>
      <c r="K487" s="101"/>
    </row>
    <row r="488" spans="1:11" ht="16.350000000000001" customHeight="1">
      <c r="A488" s="45">
        <v>5</v>
      </c>
      <c r="B488" s="120" t="s">
        <v>101</v>
      </c>
      <c r="C488" s="120" t="s">
        <v>53</v>
      </c>
      <c r="D488" s="9"/>
      <c r="E488" s="9"/>
      <c r="F488" s="130">
        <f>IF(E488="",0,IF(E488&gt;0,RANK(E488,E484:E513,1)))</f>
        <v>0</v>
      </c>
      <c r="G488" s="131">
        <f t="shared" si="86"/>
        <v>0</v>
      </c>
      <c r="H488" s="31">
        <v>821122</v>
      </c>
      <c r="I488" s="101"/>
      <c r="J488" s="101"/>
      <c r="K488" s="101"/>
    </row>
    <row r="489" spans="1:11" ht="16.350000000000001" customHeight="1">
      <c r="A489" s="45">
        <v>6</v>
      </c>
      <c r="B489" s="120"/>
      <c r="C489" s="120"/>
      <c r="D489" s="9"/>
      <c r="E489" s="9"/>
      <c r="F489" s="130">
        <f>IF(E489="",0,IF(E489&gt;0,RANK(E489,E484:E513,1)))</f>
        <v>0</v>
      </c>
      <c r="G489" s="131">
        <f t="shared" si="86"/>
        <v>0</v>
      </c>
    </row>
    <row r="490" spans="1:11" ht="16.350000000000001" customHeight="1">
      <c r="A490" s="47" t="s">
        <v>296</v>
      </c>
      <c r="B490" s="5"/>
      <c r="C490" s="4"/>
      <c r="F490" s="133"/>
      <c r="G490" s="132"/>
    </row>
    <row r="491" spans="1:11" ht="16.350000000000001" customHeight="1">
      <c r="A491" s="43" t="s">
        <v>0</v>
      </c>
      <c r="B491" s="7" t="s">
        <v>1</v>
      </c>
      <c r="C491" s="8" t="s">
        <v>4</v>
      </c>
      <c r="D491" s="7" t="s">
        <v>2</v>
      </c>
      <c r="E491" s="7" t="s">
        <v>6</v>
      </c>
      <c r="F491" s="128" t="s">
        <v>7</v>
      </c>
      <c r="G491" s="129" t="s">
        <v>8</v>
      </c>
    </row>
    <row r="492" spans="1:11" ht="16.350000000000001" customHeight="1">
      <c r="A492" s="45">
        <v>1</v>
      </c>
      <c r="B492" s="120" t="s">
        <v>105</v>
      </c>
      <c r="C492" s="120" t="s">
        <v>53</v>
      </c>
      <c r="D492" s="9"/>
      <c r="E492" s="9"/>
      <c r="F492" s="130">
        <f>IF(E492="",0,IF(E492&gt;0,RANK(E492,E484:E513,1)))</f>
        <v>0</v>
      </c>
      <c r="G492" s="131">
        <f>VLOOKUP(F492,$L$3:$M$33,2,0)</f>
        <v>0</v>
      </c>
    </row>
    <row r="493" spans="1:11" ht="16.350000000000001" customHeight="1">
      <c r="A493" s="45">
        <v>2</v>
      </c>
      <c r="B493" s="120" t="s">
        <v>167</v>
      </c>
      <c r="C493" s="120" t="s">
        <v>53</v>
      </c>
      <c r="D493" s="9"/>
      <c r="E493" s="9"/>
      <c r="F493" s="130">
        <f>IF(E493="",0,IF(E493&gt;0,RANK(E493,E484:E513,1)))</f>
        <v>0</v>
      </c>
      <c r="G493" s="131">
        <f t="shared" ref="G493:G497" si="87">VLOOKUP(F493,$L$3:$M$33,2,0)</f>
        <v>0</v>
      </c>
    </row>
    <row r="494" spans="1:11" ht="16.350000000000001" customHeight="1">
      <c r="A494" s="45">
        <v>3</v>
      </c>
      <c r="B494" s="136" t="s">
        <v>227</v>
      </c>
      <c r="C494" s="136" t="s">
        <v>71</v>
      </c>
      <c r="D494" s="9"/>
      <c r="E494" s="9"/>
      <c r="F494" s="130">
        <f>IF(E494="",0,IF(E494&gt;0,RANK(E494,E484:E513,1)))</f>
        <v>0</v>
      </c>
      <c r="G494" s="131">
        <f t="shared" si="87"/>
        <v>0</v>
      </c>
    </row>
    <row r="495" spans="1:11" ht="16.350000000000001" customHeight="1">
      <c r="A495" s="45">
        <v>4</v>
      </c>
      <c r="B495" s="137" t="s">
        <v>228</v>
      </c>
      <c r="C495" s="136" t="s">
        <v>71</v>
      </c>
      <c r="D495" s="9"/>
      <c r="E495" s="9"/>
      <c r="F495" s="130">
        <f>IF(E495="",0,IF(E495&gt;0,RANK(E495,E484:E513,1)))</f>
        <v>0</v>
      </c>
      <c r="G495" s="131">
        <f t="shared" si="87"/>
        <v>0</v>
      </c>
    </row>
    <row r="496" spans="1:11" ht="16.350000000000001" customHeight="1">
      <c r="A496" s="45">
        <v>5</v>
      </c>
      <c r="B496" s="120" t="s">
        <v>103</v>
      </c>
      <c r="C496" s="120" t="s">
        <v>73</v>
      </c>
      <c r="D496" s="9"/>
      <c r="E496" s="9"/>
      <c r="F496" s="130">
        <f>IF(E496="",0,IF(E496&gt;0,RANK(E496,E484:E513,1)))</f>
        <v>0</v>
      </c>
      <c r="G496" s="131">
        <f t="shared" si="87"/>
        <v>0</v>
      </c>
    </row>
    <row r="497" spans="1:7" ht="16.350000000000001" customHeight="1">
      <c r="A497" s="45">
        <v>6</v>
      </c>
      <c r="B497" s="127"/>
      <c r="C497" s="120"/>
      <c r="D497" s="9"/>
      <c r="E497" s="9"/>
      <c r="F497" s="130">
        <f>IF(E497="",0,IF(E497&gt;0,RANK(E497,E484:E513,1)))</f>
        <v>0</v>
      </c>
      <c r="G497" s="131">
        <f t="shared" si="87"/>
        <v>0</v>
      </c>
    </row>
    <row r="498" spans="1:7" ht="16.350000000000001" customHeight="1">
      <c r="A498" s="47" t="s">
        <v>297</v>
      </c>
      <c r="B498" s="18"/>
      <c r="C498" s="18"/>
      <c r="F498" s="133"/>
      <c r="G498" s="132"/>
    </row>
    <row r="499" spans="1:7" ht="16.350000000000001" customHeight="1">
      <c r="A499" s="43" t="s">
        <v>0</v>
      </c>
      <c r="B499" s="7" t="s">
        <v>1</v>
      </c>
      <c r="C499" s="8" t="s">
        <v>4</v>
      </c>
      <c r="D499" s="7" t="s">
        <v>2</v>
      </c>
      <c r="E499" s="7" t="s">
        <v>6</v>
      </c>
      <c r="F499" s="128" t="s">
        <v>7</v>
      </c>
      <c r="G499" s="129" t="s">
        <v>8</v>
      </c>
    </row>
    <row r="500" spans="1:7" ht="16.350000000000001" customHeight="1">
      <c r="A500" s="45">
        <v>1</v>
      </c>
      <c r="B500" s="120" t="s">
        <v>29</v>
      </c>
      <c r="C500" s="120" t="s">
        <v>58</v>
      </c>
      <c r="D500" s="9"/>
      <c r="E500" s="9"/>
      <c r="F500" s="130">
        <f>IF(E500="",0,IF(E500&gt;0,RANK(E500,E484:E513,1)))</f>
        <v>0</v>
      </c>
      <c r="G500" s="131">
        <f>VLOOKUP(F500,$L$3:$M$33,2,0)</f>
        <v>0</v>
      </c>
    </row>
    <row r="501" spans="1:7" ht="16.350000000000001" customHeight="1">
      <c r="A501" s="45">
        <v>2</v>
      </c>
      <c r="B501" s="120" t="s">
        <v>16</v>
      </c>
      <c r="C501" s="120" t="s">
        <v>58</v>
      </c>
      <c r="D501" s="9"/>
      <c r="E501" s="9"/>
      <c r="F501" s="130">
        <f>IF(E501="",0,IF(E501&gt;0,RANK(E501,E484:E513,1)))</f>
        <v>0</v>
      </c>
      <c r="G501" s="131">
        <f t="shared" ref="G501:G505" si="88">VLOOKUP(F501,$L$3:$M$33,2,0)</f>
        <v>0</v>
      </c>
    </row>
    <row r="502" spans="1:7" ht="16.350000000000001" customHeight="1">
      <c r="A502" s="45">
        <v>3</v>
      </c>
      <c r="B502" s="120" t="s">
        <v>45</v>
      </c>
      <c r="C502" s="120" t="s">
        <v>56</v>
      </c>
      <c r="D502" s="9"/>
      <c r="E502" s="9"/>
      <c r="F502" s="130">
        <f>IF(E502="",0,IF(E502&gt;0,RANK(E502,E485:E513,1)))</f>
        <v>0</v>
      </c>
      <c r="G502" s="131">
        <f t="shared" si="88"/>
        <v>0</v>
      </c>
    </row>
    <row r="503" spans="1:7" ht="16.350000000000001" customHeight="1">
      <c r="A503" s="45">
        <v>4</v>
      </c>
      <c r="B503" s="120" t="s">
        <v>26</v>
      </c>
      <c r="C503" s="120" t="s">
        <v>56</v>
      </c>
      <c r="D503" s="9"/>
      <c r="E503" s="9"/>
      <c r="F503" s="130">
        <f>IF(E503="",0,IF(E503&gt;0,RANK(E503,E484:E513,1)))</f>
        <v>0</v>
      </c>
      <c r="G503" s="131">
        <f t="shared" si="88"/>
        <v>0</v>
      </c>
    </row>
    <row r="504" spans="1:7" ht="16.350000000000001" customHeight="1">
      <c r="A504" s="45">
        <v>5</v>
      </c>
      <c r="B504" s="120" t="s">
        <v>168</v>
      </c>
      <c r="C504" s="120" t="s">
        <v>78</v>
      </c>
      <c r="D504" s="9"/>
      <c r="E504" s="9"/>
      <c r="F504" s="130">
        <f>IF(E504="",0,IF(E504&gt;0,RANK(E504,E484:E513,1)))</f>
        <v>0</v>
      </c>
      <c r="G504" s="131">
        <f t="shared" si="88"/>
        <v>0</v>
      </c>
    </row>
    <row r="505" spans="1:7" ht="16.350000000000001" customHeight="1">
      <c r="A505" s="45">
        <v>6</v>
      </c>
      <c r="B505" s="120"/>
      <c r="C505" s="120"/>
      <c r="D505" s="22"/>
      <c r="E505" s="9"/>
      <c r="F505" s="130">
        <f>IF(E505="",0,IF(E505&gt;0,RANK(E505,E484:E513,1)))</f>
        <v>0</v>
      </c>
      <c r="G505" s="131">
        <f t="shared" si="88"/>
        <v>0</v>
      </c>
    </row>
    <row r="506" spans="1:7" ht="16.350000000000001" customHeight="1">
      <c r="A506" s="47" t="s">
        <v>391</v>
      </c>
      <c r="B506" s="18"/>
      <c r="C506" s="18"/>
      <c r="F506" s="133"/>
      <c r="G506" s="132"/>
    </row>
    <row r="507" spans="1:7" ht="16.350000000000001" customHeight="1">
      <c r="A507" s="43" t="s">
        <v>0</v>
      </c>
      <c r="B507" s="7" t="s">
        <v>1</v>
      </c>
      <c r="C507" s="8" t="s">
        <v>4</v>
      </c>
      <c r="D507" s="7" t="s">
        <v>2</v>
      </c>
      <c r="E507" s="7" t="s">
        <v>6</v>
      </c>
      <c r="F507" s="128" t="s">
        <v>7</v>
      </c>
      <c r="G507" s="129" t="s">
        <v>8</v>
      </c>
    </row>
    <row r="508" spans="1:7" ht="16.350000000000001" customHeight="1">
      <c r="A508" s="45">
        <v>1</v>
      </c>
      <c r="B508" s="120"/>
      <c r="C508" s="120"/>
      <c r="D508" s="9"/>
      <c r="E508" s="9"/>
      <c r="F508" s="130">
        <f>IF(E508="",0,IF(E508&gt;0,RANK(E508,E484:E513,1)))</f>
        <v>0</v>
      </c>
      <c r="G508" s="131">
        <f>VLOOKUP(F508,$L$3:$M$33,2,0)</f>
        <v>0</v>
      </c>
    </row>
    <row r="509" spans="1:7" ht="16.350000000000001" customHeight="1">
      <c r="A509" s="45">
        <v>2</v>
      </c>
      <c r="B509" s="120" t="s">
        <v>102</v>
      </c>
      <c r="C509" s="120" t="s">
        <v>53</v>
      </c>
      <c r="D509" s="9"/>
      <c r="E509" s="9"/>
      <c r="F509" s="130">
        <f>IF(E509="",0,IF(E509&gt;0,RANK(E509,E484:E513,1)))</f>
        <v>0</v>
      </c>
      <c r="G509" s="131">
        <f t="shared" ref="G509:G513" si="89">VLOOKUP(F509,$L$3:$M$33,2,0)</f>
        <v>0</v>
      </c>
    </row>
    <row r="510" spans="1:7" ht="16.350000000000001" customHeight="1">
      <c r="A510" s="45">
        <v>3</v>
      </c>
      <c r="B510" s="120" t="s">
        <v>257</v>
      </c>
      <c r="C510" s="120" t="s">
        <v>56</v>
      </c>
      <c r="D510" s="9"/>
      <c r="E510" s="9"/>
      <c r="F510" s="130">
        <f>IF(E510="",0,IF(E510&gt;0,RANK(E510,E484:E513,1)))</f>
        <v>0</v>
      </c>
      <c r="G510" s="131">
        <f t="shared" si="89"/>
        <v>0</v>
      </c>
    </row>
    <row r="511" spans="1:7" ht="16.350000000000001" customHeight="1">
      <c r="A511" s="45">
        <v>4</v>
      </c>
      <c r="B511" s="127" t="s">
        <v>104</v>
      </c>
      <c r="C511" s="120" t="s">
        <v>73</v>
      </c>
      <c r="D511" s="9"/>
      <c r="E511" s="9"/>
      <c r="F511" s="130">
        <f>IF(E511="",0,IF(E511&gt;0,RANK(E511,E484:E513,1)))</f>
        <v>0</v>
      </c>
      <c r="G511" s="131">
        <f t="shared" si="89"/>
        <v>0</v>
      </c>
    </row>
    <row r="512" spans="1:7" ht="16.350000000000001" customHeight="1">
      <c r="A512" s="45">
        <v>5</v>
      </c>
      <c r="B512" s="120" t="s">
        <v>107</v>
      </c>
      <c r="C512" s="120" t="s">
        <v>13</v>
      </c>
      <c r="D512" s="9"/>
      <c r="E512" s="9"/>
      <c r="F512" s="130">
        <f>IF(E512="",0,IF(E512&gt;0,RANK(E512,E484:E513,1)))</f>
        <v>0</v>
      </c>
      <c r="G512" s="131">
        <f t="shared" si="89"/>
        <v>0</v>
      </c>
    </row>
    <row r="513" spans="1:9" ht="16.350000000000001" customHeight="1">
      <c r="A513" s="45">
        <v>6</v>
      </c>
      <c r="B513" s="120"/>
      <c r="C513" s="120"/>
      <c r="D513" s="22"/>
      <c r="E513" s="9"/>
      <c r="F513" s="130">
        <f>IF(E513="",0,IF(E513&gt;0,RANK(E513,E484:E513,1)))</f>
        <v>0</v>
      </c>
      <c r="G513" s="131">
        <f t="shared" si="89"/>
        <v>0</v>
      </c>
    </row>
    <row r="514" spans="1:9" ht="16.350000000000001" customHeight="1">
      <c r="A514" s="47" t="s">
        <v>298</v>
      </c>
      <c r="B514" s="5"/>
      <c r="C514" s="4"/>
      <c r="G514" s="48"/>
    </row>
    <row r="515" spans="1:9" ht="16.350000000000001" customHeight="1">
      <c r="A515" s="43" t="s">
        <v>0</v>
      </c>
      <c r="B515" s="7" t="s">
        <v>1</v>
      </c>
      <c r="C515" s="8" t="s">
        <v>4</v>
      </c>
      <c r="D515" s="7" t="s">
        <v>2</v>
      </c>
      <c r="E515" s="7" t="s">
        <v>6</v>
      </c>
      <c r="F515" s="128" t="s">
        <v>7</v>
      </c>
      <c r="G515" s="129" t="s">
        <v>8</v>
      </c>
      <c r="I515" s="110"/>
    </row>
    <row r="516" spans="1:9" ht="16.350000000000001" customHeight="1">
      <c r="A516" s="45">
        <v>1</v>
      </c>
      <c r="B516" s="120" t="s">
        <v>111</v>
      </c>
      <c r="C516" s="120" t="s">
        <v>53</v>
      </c>
      <c r="D516" s="15"/>
      <c r="E516" s="9"/>
      <c r="F516" s="130">
        <f t="shared" ref="F516:F521" si="90">IF(E516="",0,IF(E516&gt;0,RANK(E516,$E$516:$E$537,1)))</f>
        <v>0</v>
      </c>
      <c r="G516" s="131">
        <f>VLOOKUP(F516,$L$3:$M$33,2,0)</f>
        <v>0</v>
      </c>
      <c r="I516" s="110"/>
    </row>
    <row r="517" spans="1:9" ht="16.350000000000001" customHeight="1">
      <c r="A517" s="45">
        <v>2</v>
      </c>
      <c r="B517" s="120" t="s">
        <v>47</v>
      </c>
      <c r="C517" s="120" t="s">
        <v>53</v>
      </c>
      <c r="D517" s="15"/>
      <c r="E517" s="9"/>
      <c r="F517" s="130">
        <f t="shared" si="90"/>
        <v>0</v>
      </c>
      <c r="G517" s="131">
        <f t="shared" ref="G517:G521" si="91">VLOOKUP(F517,$L$3:$M$33,2,0)</f>
        <v>0</v>
      </c>
      <c r="I517" s="110"/>
    </row>
    <row r="518" spans="1:9" ht="16.350000000000001" customHeight="1">
      <c r="A518" s="45">
        <v>3</v>
      </c>
      <c r="B518" s="120" t="s">
        <v>234</v>
      </c>
      <c r="C518" s="120" t="s">
        <v>53</v>
      </c>
      <c r="D518" s="15"/>
      <c r="E518" s="9"/>
      <c r="F518" s="130">
        <f t="shared" si="90"/>
        <v>0</v>
      </c>
      <c r="G518" s="131">
        <f t="shared" si="91"/>
        <v>0</v>
      </c>
      <c r="I518" s="110"/>
    </row>
    <row r="519" spans="1:9" ht="16.350000000000001" customHeight="1">
      <c r="A519" s="45">
        <v>4</v>
      </c>
      <c r="B519" s="120" t="s">
        <v>281</v>
      </c>
      <c r="C519" s="120" t="s">
        <v>56</v>
      </c>
      <c r="D519" s="15"/>
      <c r="E519" s="9"/>
      <c r="F519" s="130">
        <f t="shared" si="90"/>
        <v>0</v>
      </c>
      <c r="G519" s="131">
        <f t="shared" si="91"/>
        <v>0</v>
      </c>
      <c r="I519" s="110"/>
    </row>
    <row r="520" spans="1:9" ht="16.350000000000001" customHeight="1">
      <c r="A520" s="45">
        <v>5</v>
      </c>
      <c r="B520" s="120" t="s">
        <v>235</v>
      </c>
      <c r="C520" s="120" t="s">
        <v>56</v>
      </c>
      <c r="D520" s="15"/>
      <c r="E520" s="9"/>
      <c r="F520" s="130">
        <f t="shared" si="90"/>
        <v>0</v>
      </c>
      <c r="G520" s="131">
        <f t="shared" si="91"/>
        <v>0</v>
      </c>
      <c r="I520" s="110"/>
    </row>
    <row r="521" spans="1:9" ht="16.350000000000001" customHeight="1">
      <c r="A521" s="45">
        <v>6</v>
      </c>
      <c r="B521" s="120" t="s">
        <v>46</v>
      </c>
      <c r="C521" s="120" t="s">
        <v>56</v>
      </c>
      <c r="D521" s="15"/>
      <c r="E521" s="9"/>
      <c r="F521" s="130">
        <f t="shared" si="90"/>
        <v>0</v>
      </c>
      <c r="G521" s="131">
        <f t="shared" si="91"/>
        <v>0</v>
      </c>
      <c r="I521" s="110"/>
    </row>
    <row r="522" spans="1:9" ht="16.350000000000001" customHeight="1">
      <c r="A522" s="47" t="s">
        <v>299</v>
      </c>
      <c r="B522" s="5"/>
      <c r="C522" s="4"/>
      <c r="F522" s="133"/>
      <c r="G522" s="132"/>
      <c r="I522" s="110"/>
    </row>
    <row r="523" spans="1:9" ht="16.350000000000001" customHeight="1">
      <c r="A523" s="43" t="s">
        <v>0</v>
      </c>
      <c r="B523" s="7" t="s">
        <v>1</v>
      </c>
      <c r="C523" s="8" t="s">
        <v>4</v>
      </c>
      <c r="D523" s="7" t="s">
        <v>2</v>
      </c>
      <c r="E523" s="7" t="s">
        <v>6</v>
      </c>
      <c r="F523" s="128" t="s">
        <v>7</v>
      </c>
      <c r="G523" s="129" t="s">
        <v>8</v>
      </c>
      <c r="I523" s="110"/>
    </row>
    <row r="524" spans="1:9" ht="16.350000000000001" customHeight="1">
      <c r="A524" s="45">
        <v>1</v>
      </c>
      <c r="B524" s="120" t="s">
        <v>233</v>
      </c>
      <c r="C524" s="120" t="s">
        <v>60</v>
      </c>
      <c r="D524" s="15"/>
      <c r="E524" s="9"/>
      <c r="F524" s="130">
        <f t="shared" ref="F524:F529" si="92">IF(E524="",0,IF(E524&gt;0,RANK(E524,$E$516:$E$537,1)))</f>
        <v>0</v>
      </c>
      <c r="G524" s="131">
        <f>VLOOKUP(F524,$L$3:$M$33,2,0)</f>
        <v>0</v>
      </c>
      <c r="I524" s="110"/>
    </row>
    <row r="525" spans="1:9" ht="16.350000000000001" customHeight="1">
      <c r="A525" s="45">
        <v>2</v>
      </c>
      <c r="B525" s="120" t="s">
        <v>51</v>
      </c>
      <c r="C525" s="120" t="s">
        <v>53</v>
      </c>
      <c r="D525" s="15"/>
      <c r="E525" s="9"/>
      <c r="F525" s="130">
        <f t="shared" si="92"/>
        <v>0</v>
      </c>
      <c r="G525" s="131">
        <f t="shared" ref="G525:G529" si="93">VLOOKUP(F525,$L$3:$M$33,2,0)</f>
        <v>0</v>
      </c>
      <c r="I525" s="110"/>
    </row>
    <row r="526" spans="1:9" ht="16.350000000000001" customHeight="1">
      <c r="A526" s="45">
        <v>3</v>
      </c>
      <c r="B526" s="120" t="s">
        <v>174</v>
      </c>
      <c r="C526" s="120" t="s">
        <v>53</v>
      </c>
      <c r="D526" s="1"/>
      <c r="E526" s="9"/>
      <c r="F526" s="130">
        <f t="shared" si="92"/>
        <v>0</v>
      </c>
      <c r="G526" s="131">
        <f t="shared" si="93"/>
        <v>0</v>
      </c>
      <c r="I526" s="110"/>
    </row>
    <row r="527" spans="1:9" ht="16.350000000000001" customHeight="1">
      <c r="A527" s="45">
        <v>4</v>
      </c>
      <c r="B527" s="120" t="s">
        <v>109</v>
      </c>
      <c r="C527" s="120" t="s">
        <v>53</v>
      </c>
      <c r="D527" s="15"/>
      <c r="E527" s="9"/>
      <c r="F527" s="130">
        <f t="shared" si="92"/>
        <v>0</v>
      </c>
      <c r="G527" s="131">
        <f t="shared" si="93"/>
        <v>0</v>
      </c>
      <c r="I527" s="110"/>
    </row>
    <row r="528" spans="1:9" ht="16.350000000000001" customHeight="1">
      <c r="A528" s="45">
        <v>5</v>
      </c>
      <c r="B528" s="120" t="s">
        <v>176</v>
      </c>
      <c r="C528" s="120" t="s">
        <v>56</v>
      </c>
      <c r="D528" s="15"/>
      <c r="E528" s="9"/>
      <c r="F528" s="130">
        <f t="shared" si="92"/>
        <v>0</v>
      </c>
      <c r="G528" s="131">
        <f t="shared" si="93"/>
        <v>0</v>
      </c>
      <c r="I528" s="110"/>
    </row>
    <row r="529" spans="1:9" ht="16.350000000000001" customHeight="1">
      <c r="A529" s="45">
        <v>6</v>
      </c>
      <c r="B529" s="120" t="s">
        <v>236</v>
      </c>
      <c r="C529" s="120" t="s">
        <v>56</v>
      </c>
      <c r="D529" s="15"/>
      <c r="E529" s="9"/>
      <c r="F529" s="130">
        <f t="shared" si="92"/>
        <v>0</v>
      </c>
      <c r="G529" s="131">
        <f t="shared" si="93"/>
        <v>0</v>
      </c>
      <c r="I529" s="110"/>
    </row>
    <row r="530" spans="1:9" ht="16.350000000000001" customHeight="1">
      <c r="A530" s="47" t="s">
        <v>300</v>
      </c>
      <c r="B530" s="5"/>
      <c r="C530" s="6"/>
      <c r="F530" s="133"/>
      <c r="G530" s="132"/>
    </row>
    <row r="531" spans="1:9" ht="16.350000000000001" customHeight="1">
      <c r="A531" s="43" t="s">
        <v>0</v>
      </c>
      <c r="B531" s="7" t="s">
        <v>1</v>
      </c>
      <c r="C531" s="8" t="s">
        <v>4</v>
      </c>
      <c r="D531" s="7" t="s">
        <v>2</v>
      </c>
      <c r="E531" s="7" t="s">
        <v>6</v>
      </c>
      <c r="F531" s="128" t="s">
        <v>7</v>
      </c>
      <c r="G531" s="129" t="s">
        <v>8</v>
      </c>
      <c r="I531" s="110"/>
    </row>
    <row r="532" spans="1:9" ht="16.350000000000001" customHeight="1">
      <c r="A532" s="45">
        <v>1</v>
      </c>
      <c r="B532" s="85"/>
      <c r="C532" s="85"/>
      <c r="D532" s="9"/>
      <c r="E532" s="9"/>
      <c r="F532" s="130">
        <f t="shared" ref="F532:F537" si="94">IF(E532="",0,IF(E532&gt;0,RANK(E532,$E$516:$E$537,1)))</f>
        <v>0</v>
      </c>
      <c r="G532" s="131">
        <f>VLOOKUP(F532,$L$3:$M$33,2,0)</f>
        <v>0</v>
      </c>
      <c r="I532" s="110"/>
    </row>
    <row r="533" spans="1:9" ht="16.350000000000001" customHeight="1">
      <c r="A533" s="45">
        <v>2</v>
      </c>
      <c r="B533" s="136" t="s">
        <v>175</v>
      </c>
      <c r="C533" s="136" t="s">
        <v>71</v>
      </c>
      <c r="D533" s="76"/>
      <c r="E533" s="9"/>
      <c r="F533" s="130">
        <f t="shared" si="94"/>
        <v>0</v>
      </c>
      <c r="G533" s="131">
        <f t="shared" ref="G533:G537" si="95">VLOOKUP(F533,$L$3:$M$33,2,0)</f>
        <v>0</v>
      </c>
      <c r="I533" s="110"/>
    </row>
    <row r="534" spans="1:9" ht="16.350000000000001" customHeight="1">
      <c r="A534" s="45">
        <v>3</v>
      </c>
      <c r="B534" s="127" t="s">
        <v>108</v>
      </c>
      <c r="C534" s="120" t="s">
        <v>73</v>
      </c>
      <c r="D534" s="9"/>
      <c r="E534" s="9"/>
      <c r="F534" s="130">
        <f t="shared" si="94"/>
        <v>0</v>
      </c>
      <c r="G534" s="131">
        <f t="shared" si="95"/>
        <v>0</v>
      </c>
      <c r="I534" s="110"/>
    </row>
    <row r="535" spans="1:9" ht="16.350000000000001" customHeight="1">
      <c r="A535" s="45">
        <v>4</v>
      </c>
      <c r="B535" s="120" t="s">
        <v>19</v>
      </c>
      <c r="C535" s="120" t="s">
        <v>58</v>
      </c>
      <c r="D535" s="9"/>
      <c r="E535" s="9"/>
      <c r="F535" s="130">
        <f t="shared" si="94"/>
        <v>0</v>
      </c>
      <c r="G535" s="131">
        <f t="shared" si="95"/>
        <v>0</v>
      </c>
      <c r="I535" s="110"/>
    </row>
    <row r="536" spans="1:9" ht="16.350000000000001" customHeight="1">
      <c r="A536" s="45">
        <v>5</v>
      </c>
      <c r="B536" s="120" t="s">
        <v>279</v>
      </c>
      <c r="C536" s="120" t="s">
        <v>277</v>
      </c>
      <c r="D536" s="9"/>
      <c r="E536" s="9"/>
      <c r="F536" s="130">
        <f t="shared" si="94"/>
        <v>0</v>
      </c>
      <c r="G536" s="131">
        <f t="shared" si="95"/>
        <v>0</v>
      </c>
      <c r="I536" s="110"/>
    </row>
    <row r="537" spans="1:9" ht="16.350000000000001" customHeight="1">
      <c r="A537" s="45">
        <v>6</v>
      </c>
      <c r="B537" s="85"/>
      <c r="C537" s="85"/>
      <c r="D537" s="9"/>
      <c r="E537" s="9"/>
      <c r="F537" s="130">
        <f t="shared" si="94"/>
        <v>0</v>
      </c>
      <c r="G537" s="131">
        <f t="shared" si="95"/>
        <v>0</v>
      </c>
      <c r="I537" s="110"/>
    </row>
    <row r="538" spans="1:9" ht="16.350000000000001" customHeight="1">
      <c r="A538" s="47" t="s">
        <v>301</v>
      </c>
      <c r="B538" s="5"/>
      <c r="C538" s="6"/>
      <c r="G538" s="48"/>
      <c r="I538" s="110"/>
    </row>
    <row r="539" spans="1:9" ht="16.350000000000001" customHeight="1">
      <c r="A539" s="43" t="s">
        <v>0</v>
      </c>
      <c r="B539" s="7" t="s">
        <v>1</v>
      </c>
      <c r="C539" s="8" t="s">
        <v>4</v>
      </c>
      <c r="D539" s="7" t="s">
        <v>2</v>
      </c>
      <c r="E539" s="7" t="s">
        <v>6</v>
      </c>
      <c r="F539" s="7" t="s">
        <v>7</v>
      </c>
      <c r="G539" s="44" t="s">
        <v>8</v>
      </c>
      <c r="I539" s="110"/>
    </row>
    <row r="540" spans="1:9" ht="16.350000000000001" customHeight="1">
      <c r="A540" s="45">
        <v>1</v>
      </c>
      <c r="B540" s="126" t="s">
        <v>112</v>
      </c>
      <c r="C540" s="126" t="s">
        <v>302</v>
      </c>
      <c r="D540" s="9"/>
      <c r="E540" s="9"/>
      <c r="F540" s="10">
        <f t="shared" ref="F540:F545" si="96">IF(E540="",0,IF(E540&gt;0,RANK(E540,$E$540:$E$545,1)))</f>
        <v>0</v>
      </c>
      <c r="G540" s="46">
        <f>VLOOKUP(F540,$L$3:$M$33,2,0)</f>
        <v>0</v>
      </c>
      <c r="I540" s="110"/>
    </row>
    <row r="541" spans="1:9" ht="16.350000000000001" customHeight="1">
      <c r="A541" s="45">
        <v>2</v>
      </c>
      <c r="B541" s="120" t="s">
        <v>44</v>
      </c>
      <c r="C541" s="120" t="s">
        <v>53</v>
      </c>
      <c r="D541" s="76"/>
      <c r="E541" s="9"/>
      <c r="F541" s="10">
        <f t="shared" si="96"/>
        <v>0</v>
      </c>
      <c r="G541" s="46">
        <f t="shared" ref="G541:G545" si="97">VLOOKUP(F541,$L$3:$M$33,2,0)</f>
        <v>0</v>
      </c>
      <c r="I541" s="110"/>
    </row>
    <row r="542" spans="1:9" ht="16.350000000000001" customHeight="1">
      <c r="A542" s="45">
        <v>3</v>
      </c>
      <c r="B542" s="120" t="s">
        <v>114</v>
      </c>
      <c r="C542" s="120" t="s">
        <v>13</v>
      </c>
      <c r="D542" s="9"/>
      <c r="E542" s="9"/>
      <c r="F542" s="10">
        <f t="shared" si="96"/>
        <v>0</v>
      </c>
      <c r="G542" s="46">
        <f t="shared" si="97"/>
        <v>0</v>
      </c>
      <c r="I542" s="110"/>
    </row>
    <row r="543" spans="1:9" ht="16.350000000000001" customHeight="1">
      <c r="A543" s="45">
        <v>4</v>
      </c>
      <c r="B543" s="120" t="s">
        <v>115</v>
      </c>
      <c r="C543" s="120" t="s">
        <v>13</v>
      </c>
      <c r="D543" s="9"/>
      <c r="E543" s="9"/>
      <c r="F543" s="10">
        <f t="shared" si="96"/>
        <v>0</v>
      </c>
      <c r="G543" s="46">
        <f t="shared" si="97"/>
        <v>0</v>
      </c>
      <c r="I543" s="110"/>
    </row>
    <row r="544" spans="1:9" ht="16.350000000000001" customHeight="1">
      <c r="A544" s="45">
        <v>5</v>
      </c>
      <c r="B544" s="120" t="s">
        <v>24</v>
      </c>
      <c r="C544" s="120" t="s">
        <v>13</v>
      </c>
      <c r="D544" s="9"/>
      <c r="E544" s="9"/>
      <c r="F544" s="10">
        <f t="shared" si="96"/>
        <v>0</v>
      </c>
      <c r="G544" s="46">
        <f t="shared" si="97"/>
        <v>0</v>
      </c>
      <c r="I544" s="110"/>
    </row>
    <row r="545" spans="1:9" ht="16.350000000000001" customHeight="1">
      <c r="A545" s="45">
        <v>6</v>
      </c>
      <c r="B545" s="85"/>
      <c r="C545" s="85"/>
      <c r="D545" s="9"/>
      <c r="E545" s="9"/>
      <c r="F545" s="10">
        <f t="shared" si="96"/>
        <v>0</v>
      </c>
      <c r="G545" s="46">
        <f t="shared" si="97"/>
        <v>0</v>
      </c>
      <c r="I545" s="110"/>
    </row>
    <row r="546" spans="1:9" ht="16.350000000000001" customHeight="1">
      <c r="A546" s="47" t="s">
        <v>303</v>
      </c>
      <c r="B546" s="5"/>
      <c r="C546" s="6"/>
      <c r="G546" s="48"/>
    </row>
    <row r="547" spans="1:9" ht="16.350000000000001" customHeight="1">
      <c r="A547" s="43" t="s">
        <v>0</v>
      </c>
      <c r="B547" s="7"/>
      <c r="C547" s="8"/>
      <c r="D547" s="7" t="s">
        <v>2</v>
      </c>
      <c r="E547" s="7" t="s">
        <v>6</v>
      </c>
      <c r="F547" s="128" t="s">
        <v>7</v>
      </c>
      <c r="G547" s="129" t="s">
        <v>8</v>
      </c>
    </row>
    <row r="548" spans="1:9" ht="16.350000000000001" customHeight="1">
      <c r="A548" s="45">
        <v>1</v>
      </c>
      <c r="B548" s="134" t="s">
        <v>117</v>
      </c>
      <c r="C548" s="126" t="s">
        <v>306</v>
      </c>
      <c r="D548" s="9"/>
      <c r="E548" s="9"/>
      <c r="F548" s="130">
        <f>IF(E548="",0,IF(E548&gt;0,RANK(E548,E548:E577,1)))</f>
        <v>0</v>
      </c>
      <c r="G548" s="131">
        <f>VLOOKUP(F548,$L$3:$M$33,2,0)</f>
        <v>0</v>
      </c>
    </row>
    <row r="549" spans="1:9" ht="16.350000000000001" customHeight="1">
      <c r="A549" s="45">
        <v>2</v>
      </c>
      <c r="B549" s="120" t="s">
        <v>120</v>
      </c>
      <c r="C549" s="120" t="s">
        <v>15</v>
      </c>
      <c r="D549" s="9"/>
      <c r="E549" s="9"/>
      <c r="F549" s="130">
        <f>IF(E549="",0,IF(E549&gt;0,RANK(E549,E548:E577,1)))</f>
        <v>0</v>
      </c>
      <c r="G549" s="131">
        <f t="shared" ref="G549:G552" si="98">VLOOKUP(F549,$L$3:$M$33,2,0)</f>
        <v>0</v>
      </c>
    </row>
    <row r="550" spans="1:9" ht="16.350000000000001" customHeight="1">
      <c r="A550" s="45">
        <v>3</v>
      </c>
      <c r="B550" s="135" t="s">
        <v>307</v>
      </c>
      <c r="C550" s="120" t="s">
        <v>60</v>
      </c>
      <c r="D550" s="9"/>
      <c r="E550" s="9"/>
      <c r="F550" s="130">
        <f>IF(E550="",0,IF(E550&gt;0,RANK(E550,E548:E577,1)))</f>
        <v>0</v>
      </c>
      <c r="G550" s="131">
        <f t="shared" si="98"/>
        <v>0</v>
      </c>
    </row>
    <row r="551" spans="1:9" ht="16.350000000000001" customHeight="1">
      <c r="A551" s="45">
        <v>4</v>
      </c>
      <c r="B551" s="120" t="s">
        <v>241</v>
      </c>
      <c r="C551" s="120" t="s">
        <v>53</v>
      </c>
      <c r="D551" s="9"/>
      <c r="E551" s="9"/>
      <c r="F551" s="130">
        <f>IF(E551="",0,IF(E551&gt;0,RANK(E551,E548:E577,1)))</f>
        <v>0</v>
      </c>
      <c r="G551" s="131">
        <f t="shared" si="98"/>
        <v>0</v>
      </c>
    </row>
    <row r="552" spans="1:9" ht="16.350000000000001" customHeight="1">
      <c r="A552" s="45">
        <v>5</v>
      </c>
      <c r="B552" s="136" t="s">
        <v>128</v>
      </c>
      <c r="C552" s="136" t="s">
        <v>71</v>
      </c>
      <c r="D552" s="9"/>
      <c r="E552" s="9"/>
      <c r="F552" s="130">
        <f>IF(E552="",0,IF(E552&gt;0,RANK(E552,E548:E577,1)))</f>
        <v>0</v>
      </c>
      <c r="G552" s="131">
        <f t="shared" si="98"/>
        <v>0</v>
      </c>
    </row>
    <row r="553" spans="1:9" ht="16.350000000000001" customHeight="1">
      <c r="A553" s="45">
        <v>6</v>
      </c>
      <c r="B553" s="136" t="s">
        <v>308</v>
      </c>
      <c r="C553" s="136" t="s">
        <v>71</v>
      </c>
      <c r="D553" s="9"/>
      <c r="E553" s="9"/>
      <c r="F553" s="130">
        <f>IF(E553="",0,IF(E553&gt;0,RANK(E553,E548:E577,1)))</f>
        <v>0</v>
      </c>
      <c r="G553" s="131">
        <f>VLOOKUP(F553,$L$3:$M$33,2,0)</f>
        <v>0</v>
      </c>
    </row>
    <row r="554" spans="1:9" ht="16.350000000000001" customHeight="1">
      <c r="A554" s="47" t="s">
        <v>304</v>
      </c>
      <c r="B554" s="5"/>
      <c r="C554" s="6"/>
      <c r="F554" s="133"/>
      <c r="G554" s="132"/>
    </row>
    <row r="555" spans="1:9" ht="16.350000000000001" customHeight="1">
      <c r="A555" s="43" t="s">
        <v>0</v>
      </c>
      <c r="B555" s="7" t="s">
        <v>1</v>
      </c>
      <c r="C555" s="8" t="s">
        <v>4</v>
      </c>
      <c r="D555" s="7" t="s">
        <v>2</v>
      </c>
      <c r="E555" s="7" t="s">
        <v>6</v>
      </c>
      <c r="F555" s="128" t="s">
        <v>7</v>
      </c>
      <c r="G555" s="129" t="s">
        <v>8</v>
      </c>
    </row>
    <row r="556" spans="1:9" ht="16.350000000000001" customHeight="1">
      <c r="A556" s="45">
        <v>1</v>
      </c>
      <c r="B556" s="120" t="s">
        <v>129</v>
      </c>
      <c r="C556" s="120" t="s">
        <v>73</v>
      </c>
      <c r="D556" s="9"/>
      <c r="E556" s="9"/>
      <c r="F556" s="130">
        <f>IF(E556="",0,IF(E556&gt;0,RANK(E556,E548:E577,1)))</f>
        <v>0</v>
      </c>
      <c r="G556" s="131">
        <f>VLOOKUP(F556,$L$3:$M$33,2,0)</f>
        <v>0</v>
      </c>
    </row>
    <row r="557" spans="1:9" ht="16.350000000000001" customHeight="1">
      <c r="A557" s="45">
        <v>2</v>
      </c>
      <c r="B557" s="127" t="s">
        <v>123</v>
      </c>
      <c r="C557" s="120" t="s">
        <v>73</v>
      </c>
      <c r="D557" s="9"/>
      <c r="E557" s="9"/>
      <c r="F557" s="130">
        <f>IF(E557="",0,IF(E557&gt;0,RANK(E557,E548:E577,1)))</f>
        <v>0</v>
      </c>
      <c r="G557" s="131">
        <f t="shared" ref="G557:G561" si="99">VLOOKUP(F557,$L$3:$M$33,2,0)</f>
        <v>0</v>
      </c>
    </row>
    <row r="558" spans="1:9" ht="16.350000000000001" customHeight="1">
      <c r="A558" s="45">
        <v>3</v>
      </c>
      <c r="B558" s="120" t="s">
        <v>183</v>
      </c>
      <c r="C558" s="120" t="s">
        <v>58</v>
      </c>
      <c r="D558" s="9"/>
      <c r="E558" s="9"/>
      <c r="F558" s="130">
        <f>IF(E558="",0,IF(E558&gt;0,RANK(E558,E548:E577,1)))</f>
        <v>0</v>
      </c>
      <c r="G558" s="131">
        <f t="shared" si="99"/>
        <v>0</v>
      </c>
    </row>
    <row r="559" spans="1:9" ht="16.350000000000001" customHeight="1">
      <c r="A559" s="45">
        <v>4</v>
      </c>
      <c r="B559" s="120" t="s">
        <v>242</v>
      </c>
      <c r="C559" s="120" t="s">
        <v>58</v>
      </c>
      <c r="D559" s="76"/>
      <c r="E559" s="9"/>
      <c r="F559" s="130">
        <f>IF(E559="",0,IF(E559&gt;0,RANK(E559,E548:E577,1)))</f>
        <v>0</v>
      </c>
      <c r="G559" s="131">
        <f t="shared" si="99"/>
        <v>0</v>
      </c>
    </row>
    <row r="560" spans="1:9" ht="16.350000000000001" customHeight="1">
      <c r="A560" s="45">
        <v>5</v>
      </c>
      <c r="B560" s="120" t="s">
        <v>49</v>
      </c>
      <c r="C560" s="120" t="s">
        <v>58</v>
      </c>
      <c r="D560" s="9"/>
      <c r="E560" s="9"/>
      <c r="F560" s="130">
        <f>IF(E560="",0,IF(E560&gt;0,RANK(E560,E548:E577,1)))</f>
        <v>0</v>
      </c>
      <c r="G560" s="131">
        <f t="shared" si="99"/>
        <v>0</v>
      </c>
    </row>
    <row r="561" spans="1:11" ht="16.350000000000001" customHeight="1">
      <c r="A561" s="45">
        <v>6</v>
      </c>
      <c r="B561" s="120"/>
      <c r="C561" s="120"/>
      <c r="D561" s="9"/>
      <c r="E561" s="9"/>
      <c r="F561" s="130">
        <f>IF(E561="",0,IF(E561&gt;0,RANK(E561,E548:E577,1)))</f>
        <v>0</v>
      </c>
      <c r="G561" s="131">
        <f t="shared" si="99"/>
        <v>0</v>
      </c>
    </row>
    <row r="562" spans="1:11" s="13" customFormat="1" ht="16.350000000000001" customHeight="1">
      <c r="A562" s="47" t="s">
        <v>305</v>
      </c>
      <c r="B562" s="17"/>
      <c r="C562" s="5"/>
      <c r="D562" s="16"/>
      <c r="E562" s="16"/>
      <c r="F562" s="138"/>
      <c r="G562" s="139"/>
    </row>
    <row r="563" spans="1:11" ht="16.350000000000001" customHeight="1">
      <c r="A563" s="43" t="s">
        <v>0</v>
      </c>
      <c r="B563" s="7" t="s">
        <v>1</v>
      </c>
      <c r="C563" s="8" t="s">
        <v>4</v>
      </c>
      <c r="D563" s="7" t="s">
        <v>2</v>
      </c>
      <c r="E563" s="7" t="s">
        <v>6</v>
      </c>
      <c r="F563" s="128" t="s">
        <v>7</v>
      </c>
      <c r="G563" s="129" t="s">
        <v>8</v>
      </c>
      <c r="I563" s="110"/>
    </row>
    <row r="564" spans="1:11" ht="16.350000000000001" customHeight="1">
      <c r="A564" s="45">
        <v>1</v>
      </c>
      <c r="B564" s="120"/>
      <c r="C564" s="120"/>
      <c r="D564" s="9"/>
      <c r="E564" s="9"/>
      <c r="F564" s="130">
        <f t="shared" ref="F564:F569" si="100">IF(E564="",0,IF(E564&gt;0,RANK(E564,$E$548:$E$577,1)))</f>
        <v>0</v>
      </c>
      <c r="G564" s="131">
        <f>VLOOKUP(F564,$L$3:$M$33,2,0)</f>
        <v>0</v>
      </c>
      <c r="I564" s="110"/>
    </row>
    <row r="565" spans="1:11" ht="16.350000000000001" customHeight="1">
      <c r="A565" s="45">
        <v>2</v>
      </c>
      <c r="B565" s="120" t="s">
        <v>127</v>
      </c>
      <c r="C565" s="120" t="s">
        <v>78</v>
      </c>
      <c r="D565" s="9"/>
      <c r="E565" s="9"/>
      <c r="F565" s="130">
        <f t="shared" si="100"/>
        <v>0</v>
      </c>
      <c r="G565" s="131">
        <f t="shared" ref="G565:G569" si="101">VLOOKUP(F565,$L$3:$M$33,2,0)</f>
        <v>0</v>
      </c>
      <c r="I565" s="110"/>
    </row>
    <row r="566" spans="1:11" ht="16.350000000000001" customHeight="1">
      <c r="A566" s="45">
        <v>3</v>
      </c>
      <c r="B566" s="120" t="s">
        <v>130</v>
      </c>
      <c r="C566" s="120" t="s">
        <v>78</v>
      </c>
      <c r="D566" s="9"/>
      <c r="E566" s="9"/>
      <c r="F566" s="130">
        <f t="shared" si="100"/>
        <v>0</v>
      </c>
      <c r="G566" s="131">
        <f t="shared" si="101"/>
        <v>0</v>
      </c>
      <c r="I566" s="110"/>
    </row>
    <row r="567" spans="1:11" ht="16.350000000000001" customHeight="1">
      <c r="A567" s="45">
        <v>4</v>
      </c>
      <c r="B567" s="127" t="s">
        <v>244</v>
      </c>
      <c r="C567" s="120" t="s">
        <v>84</v>
      </c>
      <c r="D567" s="9"/>
      <c r="E567" s="9"/>
      <c r="F567" s="130">
        <f t="shared" si="100"/>
        <v>0</v>
      </c>
      <c r="G567" s="131">
        <f t="shared" si="101"/>
        <v>0</v>
      </c>
      <c r="I567" s="110"/>
    </row>
    <row r="568" spans="1:11" ht="16.350000000000001" customHeight="1">
      <c r="A568" s="45">
        <v>5</v>
      </c>
      <c r="B568" s="127" t="s">
        <v>34</v>
      </c>
      <c r="C568" s="120" t="s">
        <v>13</v>
      </c>
      <c r="D568" s="9"/>
      <c r="E568" s="9"/>
      <c r="F568" s="130">
        <f t="shared" si="100"/>
        <v>0</v>
      </c>
      <c r="G568" s="131">
        <f t="shared" si="101"/>
        <v>0</v>
      </c>
      <c r="I568" s="110"/>
    </row>
    <row r="569" spans="1:11" ht="16.350000000000001" customHeight="1">
      <c r="A569" s="45">
        <v>6</v>
      </c>
      <c r="B569" s="127"/>
      <c r="C569" s="120"/>
      <c r="D569" s="9"/>
      <c r="E569" s="9"/>
      <c r="F569" s="130">
        <f t="shared" si="100"/>
        <v>0</v>
      </c>
      <c r="G569" s="131">
        <f t="shared" si="101"/>
        <v>0</v>
      </c>
      <c r="I569" s="110"/>
    </row>
    <row r="570" spans="1:11" ht="16.350000000000001" customHeight="1">
      <c r="A570" s="47" t="s">
        <v>309</v>
      </c>
      <c r="B570" s="5"/>
      <c r="C570" s="4"/>
      <c r="F570" s="130"/>
      <c r="G570" s="132"/>
      <c r="I570" s="110"/>
    </row>
    <row r="571" spans="1:11" ht="16.350000000000001" customHeight="1">
      <c r="A571" s="43" t="s">
        <v>0</v>
      </c>
      <c r="B571" s="7" t="s">
        <v>1</v>
      </c>
      <c r="C571" s="8" t="s">
        <v>4</v>
      </c>
      <c r="D571" s="7" t="s">
        <v>2</v>
      </c>
      <c r="E571" s="7" t="s">
        <v>6</v>
      </c>
      <c r="F571" s="128" t="s">
        <v>7</v>
      </c>
      <c r="G571" s="129" t="s">
        <v>8</v>
      </c>
      <c r="I571" s="110"/>
    </row>
    <row r="572" spans="1:11" ht="16.350000000000001" customHeight="1">
      <c r="A572" s="45">
        <v>1</v>
      </c>
      <c r="B572" s="126"/>
      <c r="C572" s="120"/>
      <c r="D572" s="9"/>
      <c r="E572" s="9"/>
      <c r="F572" s="130">
        <f t="shared" ref="F572:F577" si="102">IF(E572="",0,IF(E572&gt;0,RANK(E572,$E$548:$E$577,1)))</f>
        <v>0</v>
      </c>
      <c r="G572" s="131">
        <f>VLOOKUP(F572,$L$3:$M$33,2,0)</f>
        <v>0</v>
      </c>
      <c r="I572" s="110"/>
    </row>
    <row r="573" spans="1:11" ht="16.350000000000001" customHeight="1">
      <c r="A573" s="45">
        <v>2</v>
      </c>
      <c r="B573" s="126" t="s">
        <v>245</v>
      </c>
      <c r="C573" s="120" t="s">
        <v>13</v>
      </c>
      <c r="D573" s="9"/>
      <c r="E573" s="9"/>
      <c r="F573" s="130">
        <f t="shared" si="102"/>
        <v>0</v>
      </c>
      <c r="G573" s="131">
        <f t="shared" ref="G573:G577" si="103">VLOOKUP(F573,$L$3:$M$33,2,0)</f>
        <v>0</v>
      </c>
      <c r="H573" s="31">
        <v>660226</v>
      </c>
      <c r="I573" s="111"/>
      <c r="J573" s="101"/>
      <c r="K573" s="101"/>
    </row>
    <row r="574" spans="1:11" ht="16.350000000000001" customHeight="1">
      <c r="A574" s="45">
        <v>3</v>
      </c>
      <c r="B574" s="127" t="s">
        <v>185</v>
      </c>
      <c r="C574" s="120" t="s">
        <v>13</v>
      </c>
      <c r="D574" s="9"/>
      <c r="E574" s="9"/>
      <c r="F574" s="130">
        <f t="shared" si="102"/>
        <v>0</v>
      </c>
      <c r="G574" s="131">
        <f t="shared" si="103"/>
        <v>0</v>
      </c>
      <c r="H574" s="31">
        <v>661009</v>
      </c>
      <c r="I574" s="111"/>
      <c r="J574" s="101"/>
      <c r="K574" s="101"/>
    </row>
    <row r="575" spans="1:11" ht="16.350000000000001" customHeight="1">
      <c r="A575" s="45">
        <v>4</v>
      </c>
      <c r="B575" s="127" t="s">
        <v>131</v>
      </c>
      <c r="C575" s="120" t="s">
        <v>78</v>
      </c>
      <c r="D575" s="9"/>
      <c r="E575" s="9"/>
      <c r="F575" s="130">
        <f t="shared" si="102"/>
        <v>0</v>
      </c>
      <c r="G575" s="131">
        <f t="shared" si="103"/>
        <v>0</v>
      </c>
      <c r="H575" s="31">
        <v>681005</v>
      </c>
      <c r="I575" s="111"/>
      <c r="J575" s="101"/>
      <c r="K575" s="101"/>
    </row>
    <row r="576" spans="1:11" ht="16.350000000000001" customHeight="1">
      <c r="A576" s="45">
        <v>5</v>
      </c>
      <c r="B576" s="120" t="s">
        <v>124</v>
      </c>
      <c r="C576" s="120" t="s">
        <v>73</v>
      </c>
      <c r="D576" s="9"/>
      <c r="E576" s="9"/>
      <c r="F576" s="130">
        <f t="shared" si="102"/>
        <v>0</v>
      </c>
      <c r="G576" s="131">
        <f t="shared" si="103"/>
        <v>0</v>
      </c>
      <c r="H576" s="31">
        <v>691110</v>
      </c>
      <c r="I576" s="111"/>
      <c r="J576" s="101"/>
      <c r="K576" s="101"/>
    </row>
    <row r="577" spans="1:9" ht="16.350000000000001" customHeight="1">
      <c r="A577" s="45">
        <v>6</v>
      </c>
      <c r="B577" s="23" t="s">
        <v>5</v>
      </c>
      <c r="C577" s="91" t="s">
        <v>5</v>
      </c>
      <c r="D577" s="9"/>
      <c r="E577" s="9"/>
      <c r="F577" s="130">
        <f t="shared" si="102"/>
        <v>0</v>
      </c>
      <c r="G577" s="131">
        <f t="shared" si="103"/>
        <v>0</v>
      </c>
      <c r="I577" s="110"/>
    </row>
    <row r="578" spans="1:9" ht="16.350000000000001" customHeight="1">
      <c r="A578" s="47" t="s">
        <v>310</v>
      </c>
      <c r="B578" s="5"/>
      <c r="C578" s="4"/>
      <c r="F578" s="10"/>
      <c r="G578" s="48"/>
    </row>
    <row r="579" spans="1:9" ht="16.350000000000001" customHeight="1">
      <c r="A579" s="43" t="s">
        <v>0</v>
      </c>
      <c r="B579" s="7" t="s">
        <v>1</v>
      </c>
      <c r="C579" s="8" t="s">
        <v>4</v>
      </c>
      <c r="D579" s="7" t="s">
        <v>2</v>
      </c>
      <c r="E579" s="7" t="s">
        <v>6</v>
      </c>
      <c r="F579" s="128" t="s">
        <v>7</v>
      </c>
      <c r="G579" s="129" t="s">
        <v>8</v>
      </c>
      <c r="I579" s="110"/>
    </row>
    <row r="580" spans="1:9" ht="16.350000000000001" customHeight="1">
      <c r="A580" s="45">
        <v>1</v>
      </c>
      <c r="B580" s="126" t="s">
        <v>189</v>
      </c>
      <c r="C580" s="126" t="s">
        <v>306</v>
      </c>
      <c r="D580" s="9"/>
      <c r="E580" s="9"/>
      <c r="F580" s="130">
        <f t="shared" ref="F580:F585" si="104">IF(E580="",0,IF(E580&gt;0,RANK(E580,$E$580:$E$633,1)))</f>
        <v>0</v>
      </c>
      <c r="G580" s="131">
        <f>VLOOKUP(F580,$L$3:$M$33,2,0)</f>
        <v>0</v>
      </c>
      <c r="I580" s="110"/>
    </row>
    <row r="581" spans="1:9" ht="16.350000000000001" customHeight="1">
      <c r="A581" s="45">
        <v>2</v>
      </c>
      <c r="B581" s="126" t="s">
        <v>312</v>
      </c>
      <c r="C581" s="126" t="s">
        <v>306</v>
      </c>
      <c r="D581" s="9"/>
      <c r="E581" s="9"/>
      <c r="F581" s="130">
        <f t="shared" si="104"/>
        <v>0</v>
      </c>
      <c r="G581" s="131">
        <f t="shared" ref="G581:G585" si="105">VLOOKUP(F581,$L$3:$M$33,2,0)</f>
        <v>0</v>
      </c>
      <c r="I581" s="110"/>
    </row>
    <row r="582" spans="1:9" ht="16.350000000000001" customHeight="1">
      <c r="A582" s="45">
        <v>3</v>
      </c>
      <c r="B582" s="120" t="s">
        <v>191</v>
      </c>
      <c r="C582" s="120" t="s">
        <v>64</v>
      </c>
      <c r="D582" s="9"/>
      <c r="E582" s="9"/>
      <c r="F582" s="130">
        <f t="shared" si="104"/>
        <v>0</v>
      </c>
      <c r="G582" s="131">
        <f t="shared" si="105"/>
        <v>0</v>
      </c>
      <c r="I582" s="110"/>
    </row>
    <row r="583" spans="1:9" ht="16.350000000000001" customHeight="1">
      <c r="A583" s="45">
        <v>4</v>
      </c>
      <c r="B583" s="120" t="s">
        <v>251</v>
      </c>
      <c r="C583" s="120" t="s">
        <v>15</v>
      </c>
      <c r="D583" s="9"/>
      <c r="E583" s="9"/>
      <c r="F583" s="130">
        <f t="shared" si="104"/>
        <v>0</v>
      </c>
      <c r="G583" s="131">
        <f t="shared" si="105"/>
        <v>0</v>
      </c>
      <c r="I583" s="110"/>
    </row>
    <row r="584" spans="1:9" ht="16.350000000000001" customHeight="1">
      <c r="A584" s="45">
        <v>5</v>
      </c>
      <c r="B584" s="120" t="s">
        <v>21</v>
      </c>
      <c r="C584" s="120" t="s">
        <v>15</v>
      </c>
      <c r="D584" s="9"/>
      <c r="E584" s="9"/>
      <c r="F584" s="130">
        <f t="shared" si="104"/>
        <v>0</v>
      </c>
      <c r="G584" s="131">
        <f t="shared" si="105"/>
        <v>0</v>
      </c>
      <c r="I584" s="110"/>
    </row>
    <row r="585" spans="1:9" ht="16.350000000000001" customHeight="1">
      <c r="A585" s="45">
        <v>6</v>
      </c>
      <c r="B585" s="127" t="s">
        <v>135</v>
      </c>
      <c r="C585" s="120" t="s">
        <v>60</v>
      </c>
      <c r="D585" s="9"/>
      <c r="E585" s="9"/>
      <c r="F585" s="130">
        <f t="shared" si="104"/>
        <v>0</v>
      </c>
      <c r="G585" s="131">
        <f t="shared" si="105"/>
        <v>0</v>
      </c>
      <c r="I585" s="110"/>
    </row>
    <row r="586" spans="1:9" ht="16.350000000000001" customHeight="1">
      <c r="A586" s="47" t="s">
        <v>311</v>
      </c>
      <c r="B586" s="5"/>
      <c r="C586" s="4"/>
      <c r="F586" s="130"/>
      <c r="G586" s="132"/>
      <c r="I586" s="110"/>
    </row>
    <row r="587" spans="1:9" ht="16.350000000000001" customHeight="1">
      <c r="A587" s="43" t="s">
        <v>0</v>
      </c>
      <c r="B587" s="7" t="s">
        <v>1</v>
      </c>
      <c r="C587" s="8" t="s">
        <v>4</v>
      </c>
      <c r="D587" s="7" t="s">
        <v>2</v>
      </c>
      <c r="E587" s="7" t="s">
        <v>6</v>
      </c>
      <c r="F587" s="128" t="s">
        <v>7</v>
      </c>
      <c r="G587" s="129" t="s">
        <v>8</v>
      </c>
      <c r="I587" s="110"/>
    </row>
    <row r="588" spans="1:9" ht="16.350000000000001" customHeight="1">
      <c r="A588" s="45">
        <v>1</v>
      </c>
      <c r="B588" s="120" t="s">
        <v>140</v>
      </c>
      <c r="C588" s="120" t="s">
        <v>14</v>
      </c>
      <c r="D588" s="9"/>
      <c r="E588" s="9"/>
      <c r="F588" s="130">
        <f t="shared" ref="F588:F593" si="106">IF(E588="",0,IF(E588&gt;0,RANK(E588,$E$580:$E$633,1)))</f>
        <v>0</v>
      </c>
      <c r="G588" s="131">
        <f>VLOOKUP(F588,$L$3:$M$33,2,0)</f>
        <v>0</v>
      </c>
      <c r="I588" s="110"/>
    </row>
    <row r="589" spans="1:9" ht="16.350000000000001" customHeight="1">
      <c r="A589" s="45">
        <v>2</v>
      </c>
      <c r="B589" s="127" t="s">
        <v>193</v>
      </c>
      <c r="C589" s="120" t="s">
        <v>60</v>
      </c>
      <c r="D589" s="9"/>
      <c r="E589" s="9"/>
      <c r="F589" s="130">
        <f t="shared" si="106"/>
        <v>0</v>
      </c>
      <c r="G589" s="131">
        <f t="shared" ref="G589:G593" si="107">VLOOKUP(F589,$L$3:$M$33,2,0)</f>
        <v>0</v>
      </c>
      <c r="I589" s="110"/>
    </row>
    <row r="590" spans="1:9" ht="16.350000000000001" customHeight="1">
      <c r="A590" s="45">
        <v>3</v>
      </c>
      <c r="B590" s="127" t="s">
        <v>196</v>
      </c>
      <c r="C590" s="120" t="s">
        <v>60</v>
      </c>
      <c r="D590" s="9"/>
      <c r="E590" s="9"/>
      <c r="F590" s="130">
        <f t="shared" si="106"/>
        <v>0</v>
      </c>
      <c r="G590" s="131">
        <f t="shared" si="107"/>
        <v>0</v>
      </c>
      <c r="I590" s="110"/>
    </row>
    <row r="591" spans="1:9" ht="16.350000000000001" customHeight="1">
      <c r="A591" s="45">
        <v>4</v>
      </c>
      <c r="B591" s="120" t="s">
        <v>136</v>
      </c>
      <c r="C591" s="120" t="s">
        <v>53</v>
      </c>
      <c r="D591" s="9"/>
      <c r="E591" s="9"/>
      <c r="F591" s="130">
        <f t="shared" si="106"/>
        <v>0</v>
      </c>
      <c r="G591" s="131">
        <f t="shared" si="107"/>
        <v>0</v>
      </c>
      <c r="I591" s="110"/>
    </row>
    <row r="592" spans="1:9" ht="16.350000000000001" customHeight="1">
      <c r="A592" s="45">
        <v>5</v>
      </c>
      <c r="B592" s="120" t="s">
        <v>137</v>
      </c>
      <c r="C592" s="120" t="s">
        <v>53</v>
      </c>
      <c r="D592" s="9"/>
      <c r="E592" s="9"/>
      <c r="F592" s="130">
        <f t="shared" si="106"/>
        <v>0</v>
      </c>
      <c r="G592" s="131">
        <f t="shared" si="107"/>
        <v>0</v>
      </c>
      <c r="I592" s="110"/>
    </row>
    <row r="593" spans="1:9" ht="16.350000000000001" customHeight="1">
      <c r="A593" s="45">
        <v>6</v>
      </c>
      <c r="B593" s="120" t="s">
        <v>249</v>
      </c>
      <c r="C593" s="120" t="s">
        <v>53</v>
      </c>
      <c r="D593" s="9"/>
      <c r="E593" s="9"/>
      <c r="F593" s="130">
        <f t="shared" si="106"/>
        <v>0</v>
      </c>
      <c r="G593" s="131">
        <f t="shared" si="107"/>
        <v>0</v>
      </c>
      <c r="I593" s="110"/>
    </row>
    <row r="594" spans="1:9" ht="16.350000000000001" customHeight="1">
      <c r="A594" s="47" t="s">
        <v>313</v>
      </c>
      <c r="B594" s="5"/>
      <c r="C594" s="4"/>
      <c r="F594" s="130"/>
      <c r="G594" s="132"/>
      <c r="I594" s="110"/>
    </row>
    <row r="595" spans="1:9" ht="16.350000000000001" customHeight="1">
      <c r="A595" s="43" t="s">
        <v>0</v>
      </c>
      <c r="B595" s="7" t="s">
        <v>1</v>
      </c>
      <c r="C595" s="8" t="s">
        <v>4</v>
      </c>
      <c r="D595" s="7" t="s">
        <v>2</v>
      </c>
      <c r="E595" s="7" t="s">
        <v>6</v>
      </c>
      <c r="F595" s="128" t="s">
        <v>7</v>
      </c>
      <c r="G595" s="129" t="s">
        <v>8</v>
      </c>
      <c r="I595" s="110"/>
    </row>
    <row r="596" spans="1:9" ht="16.350000000000001" customHeight="1">
      <c r="A596" s="45">
        <v>1</v>
      </c>
      <c r="B596" s="120"/>
      <c r="C596" s="120"/>
      <c r="D596" s="9"/>
      <c r="E596" s="9"/>
      <c r="F596" s="130">
        <f t="shared" ref="F596:F601" si="108">IF(E596="",0,IF(E596&gt;0,RANK(E596,$E$580:$E$633,1)))</f>
        <v>0</v>
      </c>
      <c r="G596" s="131">
        <f>VLOOKUP(F596,$L$3:$M$33,2,0)</f>
        <v>0</v>
      </c>
      <c r="I596" s="110"/>
    </row>
    <row r="597" spans="1:9" ht="16.350000000000001" customHeight="1">
      <c r="A597" s="45">
        <v>2</v>
      </c>
      <c r="B597" s="120" t="s">
        <v>253</v>
      </c>
      <c r="C597" s="120" t="s">
        <v>53</v>
      </c>
      <c r="D597" s="9"/>
      <c r="E597" s="9"/>
      <c r="F597" s="130">
        <f t="shared" si="108"/>
        <v>0</v>
      </c>
      <c r="G597" s="131">
        <f t="shared" ref="G597:G601" si="109">VLOOKUP(F597,$L$3:$M$33,2,0)</f>
        <v>0</v>
      </c>
      <c r="I597" s="110"/>
    </row>
    <row r="598" spans="1:9" ht="16.350000000000001" customHeight="1">
      <c r="A598" s="45">
        <v>3</v>
      </c>
      <c r="B598" s="120" t="s">
        <v>41</v>
      </c>
      <c r="C598" s="120" t="s">
        <v>53</v>
      </c>
      <c r="D598" s="9"/>
      <c r="E598" s="9"/>
      <c r="F598" s="130">
        <f t="shared" si="108"/>
        <v>0</v>
      </c>
      <c r="G598" s="131">
        <f t="shared" si="109"/>
        <v>0</v>
      </c>
      <c r="I598" s="110"/>
    </row>
    <row r="599" spans="1:9" ht="16.350000000000001" customHeight="1">
      <c r="A599" s="45">
        <v>4</v>
      </c>
      <c r="B599" s="142" t="s">
        <v>318</v>
      </c>
      <c r="C599" s="143" t="s">
        <v>319</v>
      </c>
      <c r="D599" s="9"/>
      <c r="E599" s="9"/>
      <c r="F599" s="130">
        <f t="shared" si="108"/>
        <v>0</v>
      </c>
      <c r="G599" s="131">
        <f t="shared" si="109"/>
        <v>0</v>
      </c>
      <c r="I599" s="110"/>
    </row>
    <row r="600" spans="1:9" ht="16.350000000000001" customHeight="1">
      <c r="A600" s="45">
        <v>5</v>
      </c>
      <c r="B600" s="127" t="s">
        <v>258</v>
      </c>
      <c r="C600" s="120" t="s">
        <v>78</v>
      </c>
      <c r="D600" s="9"/>
      <c r="E600" s="9"/>
      <c r="F600" s="130">
        <f t="shared" si="108"/>
        <v>0</v>
      </c>
      <c r="G600" s="131">
        <f t="shared" si="109"/>
        <v>0</v>
      </c>
      <c r="I600" s="110"/>
    </row>
    <row r="601" spans="1:9" ht="16.350000000000001" customHeight="1">
      <c r="A601" s="45">
        <v>6</v>
      </c>
      <c r="B601" s="120"/>
      <c r="C601" s="120"/>
      <c r="D601" s="9"/>
      <c r="E601" s="9"/>
      <c r="F601" s="130">
        <f t="shared" si="108"/>
        <v>0</v>
      </c>
      <c r="G601" s="131">
        <f t="shared" si="109"/>
        <v>0</v>
      </c>
      <c r="I601" s="110"/>
    </row>
    <row r="602" spans="1:9" ht="16.350000000000001" customHeight="1">
      <c r="A602" s="47" t="s">
        <v>314</v>
      </c>
      <c r="B602" s="5"/>
      <c r="C602" s="6"/>
      <c r="D602" s="14"/>
      <c r="E602" s="14"/>
      <c r="F602" s="144"/>
      <c r="G602" s="145"/>
    </row>
    <row r="603" spans="1:9" ht="16.350000000000001" customHeight="1">
      <c r="A603" s="43" t="s">
        <v>0</v>
      </c>
      <c r="B603" s="7" t="s">
        <v>1</v>
      </c>
      <c r="C603" s="8" t="s">
        <v>4</v>
      </c>
      <c r="D603" s="7" t="s">
        <v>2</v>
      </c>
      <c r="E603" s="7" t="s">
        <v>6</v>
      </c>
      <c r="F603" s="128" t="s">
        <v>7</v>
      </c>
      <c r="G603" s="129" t="s">
        <v>8</v>
      </c>
      <c r="I603" s="110"/>
    </row>
    <row r="604" spans="1:9" ht="16.350000000000001" customHeight="1">
      <c r="A604" s="45">
        <v>1</v>
      </c>
      <c r="B604" s="120" t="s">
        <v>139</v>
      </c>
      <c r="C604" s="120" t="s">
        <v>53</v>
      </c>
      <c r="D604" s="9"/>
      <c r="E604" s="9"/>
      <c r="F604" s="130">
        <f t="shared" ref="F604:F609" si="110">IF(E604="",0,IF(E604&gt;0,RANK(E604,$E$580:$E$633,1)))</f>
        <v>0</v>
      </c>
      <c r="G604" s="131">
        <f>VLOOKUP(F604,$L$3:$M$33,2,0)</f>
        <v>0</v>
      </c>
      <c r="I604" s="110"/>
    </row>
    <row r="605" spans="1:9" ht="16.350000000000001" customHeight="1">
      <c r="A605" s="45">
        <v>2</v>
      </c>
      <c r="B605" s="136" t="s">
        <v>316</v>
      </c>
      <c r="C605" s="136" t="s">
        <v>71</v>
      </c>
      <c r="D605" s="9"/>
      <c r="E605" s="9"/>
      <c r="F605" s="130">
        <f t="shared" si="110"/>
        <v>0</v>
      </c>
      <c r="G605" s="131">
        <f t="shared" ref="G605:G609" si="111">VLOOKUP(F605,$L$3:$M$33,2,0)</f>
        <v>0</v>
      </c>
      <c r="I605" s="110"/>
    </row>
    <row r="606" spans="1:9" ht="16.350000000000001" customHeight="1">
      <c r="A606" s="45">
        <v>3</v>
      </c>
      <c r="B606" s="136" t="s">
        <v>254</v>
      </c>
      <c r="C606" s="136" t="s">
        <v>71</v>
      </c>
      <c r="D606" s="9"/>
      <c r="E606" s="9"/>
      <c r="F606" s="130">
        <f t="shared" si="110"/>
        <v>0</v>
      </c>
      <c r="G606" s="131">
        <f t="shared" si="111"/>
        <v>0</v>
      </c>
      <c r="I606" s="110"/>
    </row>
    <row r="607" spans="1:9" ht="16.350000000000001" customHeight="1">
      <c r="A607" s="45">
        <v>4</v>
      </c>
      <c r="B607" s="120" t="s">
        <v>142</v>
      </c>
      <c r="C607" s="120" t="s">
        <v>73</v>
      </c>
      <c r="D607" s="9"/>
      <c r="E607" s="9"/>
      <c r="F607" s="130">
        <f t="shared" si="110"/>
        <v>0</v>
      </c>
      <c r="G607" s="131">
        <f t="shared" si="111"/>
        <v>0</v>
      </c>
      <c r="I607" s="110"/>
    </row>
    <row r="608" spans="1:9" ht="16.350000000000001" customHeight="1">
      <c r="A608" s="45">
        <v>5</v>
      </c>
      <c r="B608" s="127" t="s">
        <v>145</v>
      </c>
      <c r="C608" s="120" t="s">
        <v>73</v>
      </c>
      <c r="D608" s="9"/>
      <c r="E608" s="9"/>
      <c r="F608" s="130">
        <f t="shared" si="110"/>
        <v>0</v>
      </c>
      <c r="G608" s="131">
        <f t="shared" si="111"/>
        <v>0</v>
      </c>
      <c r="I608" s="110"/>
    </row>
    <row r="609" spans="1:9" ht="16.350000000000001" customHeight="1">
      <c r="A609" s="45">
        <v>6</v>
      </c>
      <c r="B609" s="127" t="s">
        <v>207</v>
      </c>
      <c r="C609" s="120" t="s">
        <v>13</v>
      </c>
      <c r="D609" s="9"/>
      <c r="E609" s="9"/>
      <c r="F609" s="130">
        <f t="shared" si="110"/>
        <v>0</v>
      </c>
      <c r="G609" s="131">
        <f t="shared" si="111"/>
        <v>0</v>
      </c>
      <c r="I609" s="110"/>
    </row>
    <row r="610" spans="1:9" ht="16.350000000000001" customHeight="1">
      <c r="A610" s="47" t="s">
        <v>315</v>
      </c>
      <c r="B610" s="5"/>
      <c r="C610" s="6"/>
      <c r="D610" s="14"/>
      <c r="E610" s="14"/>
      <c r="F610" s="144"/>
      <c r="G610" s="145"/>
      <c r="I610" s="110"/>
    </row>
    <row r="611" spans="1:9" ht="16.350000000000001" customHeight="1">
      <c r="A611" s="43" t="s">
        <v>0</v>
      </c>
      <c r="B611" s="7" t="s">
        <v>1</v>
      </c>
      <c r="C611" s="8" t="s">
        <v>4</v>
      </c>
      <c r="D611" s="7" t="s">
        <v>2</v>
      </c>
      <c r="E611" s="7" t="s">
        <v>6</v>
      </c>
      <c r="F611" s="128" t="s">
        <v>7</v>
      </c>
      <c r="G611" s="129" t="s">
        <v>8</v>
      </c>
      <c r="I611" s="110"/>
    </row>
    <row r="612" spans="1:9" ht="16.350000000000001" customHeight="1">
      <c r="A612" s="45">
        <v>1</v>
      </c>
      <c r="B612" s="127" t="s">
        <v>199</v>
      </c>
      <c r="C612" s="120" t="s">
        <v>73</v>
      </c>
      <c r="D612" s="9"/>
      <c r="E612" s="9"/>
      <c r="F612" s="130">
        <f t="shared" ref="F612:F617" si="112">IF(E612="",0,IF(E612&gt;0,RANK(E612,$E$580:$E$633,1)))</f>
        <v>0</v>
      </c>
      <c r="G612" s="131">
        <f>VLOOKUP(F612,$L$3:$M$33,2,0)</f>
        <v>0</v>
      </c>
      <c r="I612" s="110"/>
    </row>
    <row r="613" spans="1:9" ht="16.350000000000001" customHeight="1">
      <c r="A613" s="45">
        <v>2</v>
      </c>
      <c r="B613" s="120" t="s">
        <v>35</v>
      </c>
      <c r="C613" s="120" t="s">
        <v>58</v>
      </c>
      <c r="D613" s="9"/>
      <c r="E613" s="9"/>
      <c r="F613" s="130">
        <f t="shared" si="112"/>
        <v>0</v>
      </c>
      <c r="G613" s="131">
        <f t="shared" ref="G613:G617" si="113">VLOOKUP(F613,$L$3:$M$33,2,0)</f>
        <v>0</v>
      </c>
      <c r="I613" s="110"/>
    </row>
    <row r="614" spans="1:9" ht="16.350000000000001" customHeight="1">
      <c r="A614" s="45">
        <v>3</v>
      </c>
      <c r="B614" s="120" t="s">
        <v>200</v>
      </c>
      <c r="C614" s="120" t="s">
        <v>277</v>
      </c>
      <c r="D614" s="9"/>
      <c r="E614" s="9"/>
      <c r="F614" s="130">
        <f t="shared" si="112"/>
        <v>0</v>
      </c>
      <c r="G614" s="131">
        <f t="shared" si="113"/>
        <v>0</v>
      </c>
      <c r="I614" s="110"/>
    </row>
    <row r="615" spans="1:9" ht="16.350000000000001" customHeight="1">
      <c r="A615" s="45">
        <v>4</v>
      </c>
      <c r="B615" s="120" t="s">
        <v>256</v>
      </c>
      <c r="C615" s="120" t="s">
        <v>56</v>
      </c>
      <c r="D615" s="9"/>
      <c r="E615" s="9"/>
      <c r="F615" s="130">
        <f t="shared" si="112"/>
        <v>0</v>
      </c>
      <c r="G615" s="131">
        <f t="shared" si="113"/>
        <v>0</v>
      </c>
      <c r="I615" s="110"/>
    </row>
    <row r="616" spans="1:9" ht="16.350000000000001" customHeight="1">
      <c r="A616" s="45">
        <v>5</v>
      </c>
      <c r="B616" s="120" t="s">
        <v>202</v>
      </c>
      <c r="C616" s="120" t="s">
        <v>56</v>
      </c>
      <c r="D616" s="9"/>
      <c r="E616" s="9"/>
      <c r="F616" s="130">
        <f t="shared" si="112"/>
        <v>0</v>
      </c>
      <c r="G616" s="131">
        <f t="shared" si="113"/>
        <v>0</v>
      </c>
      <c r="I616" s="110"/>
    </row>
    <row r="617" spans="1:9" ht="16.350000000000001" customHeight="1">
      <c r="A617" s="45">
        <v>6</v>
      </c>
      <c r="B617" s="120"/>
      <c r="C617" s="120"/>
      <c r="D617" s="9"/>
      <c r="E617" s="9"/>
      <c r="F617" s="130">
        <f t="shared" si="112"/>
        <v>0</v>
      </c>
      <c r="G617" s="131">
        <f t="shared" si="113"/>
        <v>0</v>
      </c>
      <c r="I617" s="110"/>
    </row>
    <row r="618" spans="1:9" ht="16.350000000000001" customHeight="1">
      <c r="A618" s="47" t="s">
        <v>317</v>
      </c>
      <c r="B618" s="5"/>
      <c r="C618" s="6"/>
      <c r="D618" s="14"/>
      <c r="E618" s="14"/>
      <c r="F618" s="144"/>
      <c r="G618" s="145"/>
    </row>
    <row r="619" spans="1:9" ht="16.350000000000001" customHeight="1">
      <c r="A619" s="43" t="s">
        <v>0</v>
      </c>
      <c r="B619" s="7" t="s">
        <v>1</v>
      </c>
      <c r="C619" s="8" t="s">
        <v>4</v>
      </c>
      <c r="D619" s="7" t="s">
        <v>2</v>
      </c>
      <c r="E619" s="7" t="s">
        <v>6</v>
      </c>
      <c r="F619" s="128" t="s">
        <v>7</v>
      </c>
      <c r="G619" s="129" t="s">
        <v>8</v>
      </c>
      <c r="I619" s="110"/>
    </row>
    <row r="620" spans="1:9" ht="16.350000000000001" customHeight="1">
      <c r="A620" s="45">
        <v>1</v>
      </c>
      <c r="B620" s="120" t="s">
        <v>197</v>
      </c>
      <c r="C620" s="120" t="s">
        <v>53</v>
      </c>
      <c r="D620" s="9"/>
      <c r="E620" s="9"/>
      <c r="F620" s="130">
        <f t="shared" ref="F620:F625" si="114">IF(E620="",0,IF(E620&gt;0,RANK(E620,$E$580:$E$633,1)))</f>
        <v>0</v>
      </c>
      <c r="G620" s="131">
        <f>VLOOKUP(F620,$L$3:$M$33,2,0)</f>
        <v>0</v>
      </c>
      <c r="I620" s="110"/>
    </row>
    <row r="621" spans="1:9" ht="16.350000000000001" customHeight="1">
      <c r="A621" s="45">
        <v>2</v>
      </c>
      <c r="B621" s="120" t="s">
        <v>252</v>
      </c>
      <c r="C621" s="120" t="s">
        <v>53</v>
      </c>
      <c r="D621" s="9"/>
      <c r="E621" s="9"/>
      <c r="F621" s="130">
        <f t="shared" si="114"/>
        <v>0</v>
      </c>
      <c r="G621" s="131">
        <f t="shared" ref="G621:G625" si="115">VLOOKUP(F621,$L$3:$M$33,2,0)</f>
        <v>0</v>
      </c>
      <c r="I621" s="110"/>
    </row>
    <row r="622" spans="1:9" ht="16.350000000000001" customHeight="1">
      <c r="A622" s="45">
        <v>3</v>
      </c>
      <c r="B622" s="120" t="s">
        <v>204</v>
      </c>
      <c r="C622" s="120" t="s">
        <v>320</v>
      </c>
      <c r="D622" s="9"/>
      <c r="E622" s="9"/>
      <c r="F622" s="130">
        <f t="shared" si="114"/>
        <v>0</v>
      </c>
      <c r="G622" s="131">
        <f t="shared" si="115"/>
        <v>0</v>
      </c>
      <c r="I622" s="110"/>
    </row>
    <row r="623" spans="1:9" ht="16.350000000000001" customHeight="1">
      <c r="A623" s="45">
        <v>4</v>
      </c>
      <c r="B623" s="120" t="s">
        <v>206</v>
      </c>
      <c r="C623" s="120" t="s">
        <v>82</v>
      </c>
      <c r="D623" s="9"/>
      <c r="E623" s="9"/>
      <c r="F623" s="130">
        <f t="shared" si="114"/>
        <v>0</v>
      </c>
      <c r="G623" s="131">
        <f t="shared" si="115"/>
        <v>0</v>
      </c>
      <c r="I623" s="110"/>
    </row>
    <row r="624" spans="1:9" ht="16.350000000000001" customHeight="1">
      <c r="A624" s="45">
        <v>5</v>
      </c>
      <c r="B624" s="120" t="s">
        <v>146</v>
      </c>
      <c r="C624" s="120" t="s">
        <v>82</v>
      </c>
      <c r="D624" s="9"/>
      <c r="E624" s="9"/>
      <c r="F624" s="130">
        <f t="shared" si="114"/>
        <v>0</v>
      </c>
      <c r="G624" s="131">
        <f t="shared" si="115"/>
        <v>0</v>
      </c>
      <c r="I624" s="110"/>
    </row>
    <row r="625" spans="1:9" ht="16.350000000000001" customHeight="1">
      <c r="A625" s="45">
        <v>6</v>
      </c>
      <c r="B625" s="127"/>
      <c r="C625" s="120"/>
      <c r="D625" s="9"/>
      <c r="E625" s="9"/>
      <c r="F625" s="130">
        <f t="shared" si="114"/>
        <v>0</v>
      </c>
      <c r="G625" s="131">
        <f t="shared" si="115"/>
        <v>0</v>
      </c>
      <c r="I625" s="110"/>
    </row>
    <row r="626" spans="1:9" ht="16.350000000000001" customHeight="1">
      <c r="A626" s="47" t="s">
        <v>321</v>
      </c>
      <c r="B626" s="5"/>
      <c r="C626" s="6"/>
      <c r="D626" s="14"/>
      <c r="E626" s="14"/>
      <c r="F626" s="144"/>
      <c r="G626" s="145"/>
      <c r="I626" s="110"/>
    </row>
    <row r="627" spans="1:9" ht="16.350000000000001" customHeight="1">
      <c r="A627" s="43" t="s">
        <v>0</v>
      </c>
      <c r="B627" s="7" t="s">
        <v>1</v>
      </c>
      <c r="C627" s="8" t="s">
        <v>4</v>
      </c>
      <c r="D627" s="7" t="s">
        <v>2</v>
      </c>
      <c r="E627" s="7" t="s">
        <v>6</v>
      </c>
      <c r="F627" s="128" t="s">
        <v>7</v>
      </c>
      <c r="G627" s="129" t="s">
        <v>8</v>
      </c>
      <c r="I627" s="110"/>
    </row>
    <row r="628" spans="1:9" ht="16.350000000000001" customHeight="1">
      <c r="A628" s="45">
        <v>1</v>
      </c>
      <c r="B628" s="127"/>
      <c r="C628" s="120"/>
      <c r="D628" s="9"/>
      <c r="E628" s="9"/>
      <c r="F628" s="130">
        <f t="shared" ref="F628:F633" si="116">IF(E628="",0,IF(E628&gt;0,RANK(E628,$E$580:$E$633,1)))</f>
        <v>0</v>
      </c>
      <c r="G628" s="131">
        <f>VLOOKUP(F628,$L$3:$M$33,2,0)</f>
        <v>0</v>
      </c>
      <c r="I628" s="110"/>
    </row>
    <row r="629" spans="1:9" ht="16.350000000000001" customHeight="1">
      <c r="A629" s="45">
        <v>2</v>
      </c>
      <c r="B629" s="127" t="s">
        <v>322</v>
      </c>
      <c r="C629" s="120" t="s">
        <v>13</v>
      </c>
      <c r="D629" s="9"/>
      <c r="E629" s="9"/>
      <c r="F629" s="130">
        <f t="shared" si="116"/>
        <v>0</v>
      </c>
      <c r="G629" s="131">
        <f t="shared" ref="G629:G633" si="117">VLOOKUP(F629,$L$3:$M$33,2,0)</f>
        <v>0</v>
      </c>
      <c r="I629" s="110"/>
    </row>
    <row r="630" spans="1:9" ht="16.350000000000001" customHeight="1">
      <c r="A630" s="45">
        <v>3</v>
      </c>
      <c r="B630" s="120" t="s">
        <v>37</v>
      </c>
      <c r="C630" s="120" t="s">
        <v>15</v>
      </c>
      <c r="D630" s="9"/>
      <c r="E630" s="9"/>
      <c r="F630" s="130">
        <f t="shared" si="116"/>
        <v>0</v>
      </c>
      <c r="G630" s="131">
        <f t="shared" si="117"/>
        <v>0</v>
      </c>
      <c r="I630" s="110"/>
    </row>
    <row r="631" spans="1:9" ht="16.350000000000001" customHeight="1">
      <c r="A631" s="45">
        <v>4</v>
      </c>
      <c r="B631" s="136" t="s">
        <v>141</v>
      </c>
      <c r="C631" s="136" t="s">
        <v>71</v>
      </c>
      <c r="D631" s="9"/>
      <c r="E631" s="9"/>
      <c r="F631" s="130">
        <f t="shared" si="116"/>
        <v>0</v>
      </c>
      <c r="G631" s="131">
        <f t="shared" si="117"/>
        <v>0</v>
      </c>
      <c r="I631" s="110"/>
    </row>
    <row r="632" spans="1:9" ht="16.350000000000001" customHeight="1">
      <c r="A632" s="45">
        <v>5</v>
      </c>
      <c r="B632" s="127" t="s">
        <v>255</v>
      </c>
      <c r="C632" s="120" t="s">
        <v>73</v>
      </c>
      <c r="D632" s="9"/>
      <c r="E632" s="9"/>
      <c r="F632" s="130">
        <f t="shared" si="116"/>
        <v>0</v>
      </c>
      <c r="G632" s="131">
        <f t="shared" si="117"/>
        <v>0</v>
      </c>
      <c r="I632" s="110"/>
    </row>
    <row r="633" spans="1:9" ht="16.350000000000001" customHeight="1">
      <c r="A633" s="45">
        <v>6</v>
      </c>
      <c r="B633" s="23"/>
      <c r="C633" s="91"/>
      <c r="D633" s="9"/>
      <c r="E633" s="9"/>
      <c r="F633" s="130">
        <f t="shared" si="116"/>
        <v>0</v>
      </c>
      <c r="G633" s="131">
        <f t="shared" si="117"/>
        <v>0</v>
      </c>
      <c r="I633" s="110"/>
    </row>
    <row r="634" spans="1:9" s="13" customFormat="1" ht="16.350000000000001" customHeight="1">
      <c r="A634" s="47" t="s">
        <v>323</v>
      </c>
      <c r="B634" s="5"/>
      <c r="C634" s="5"/>
      <c r="D634" s="16"/>
      <c r="E634" s="16"/>
      <c r="F634" s="16"/>
      <c r="G634" s="52"/>
    </row>
    <row r="635" spans="1:9" ht="16.350000000000001" customHeight="1">
      <c r="A635" s="43" t="s">
        <v>0</v>
      </c>
      <c r="B635" s="7" t="s">
        <v>1</v>
      </c>
      <c r="C635" s="8" t="s">
        <v>4</v>
      </c>
      <c r="D635" s="7" t="s">
        <v>2</v>
      </c>
      <c r="E635" s="7" t="s">
        <v>6</v>
      </c>
      <c r="F635" s="128" t="s">
        <v>7</v>
      </c>
      <c r="G635" s="129" t="s">
        <v>8</v>
      </c>
    </row>
    <row r="636" spans="1:9" ht="16.350000000000001" customHeight="1">
      <c r="A636" s="45">
        <v>1</v>
      </c>
      <c r="B636" s="134" t="s">
        <v>212</v>
      </c>
      <c r="C636" s="126" t="s">
        <v>306</v>
      </c>
      <c r="D636" s="9"/>
      <c r="E636" s="11"/>
      <c r="F636" s="130">
        <f>IF(E636="",0,IF(E636&gt;0,RANK(E636,E636:E665,1)))</f>
        <v>0</v>
      </c>
      <c r="G636" s="131">
        <f>VLOOKUP(F636,$L$3:$M$33,2,0)</f>
        <v>0</v>
      </c>
    </row>
    <row r="637" spans="1:9" ht="16.350000000000001" customHeight="1">
      <c r="A637" s="45">
        <v>2</v>
      </c>
      <c r="B637" s="126" t="s">
        <v>285</v>
      </c>
      <c r="C637" s="126" t="s">
        <v>325</v>
      </c>
      <c r="D637" s="9"/>
      <c r="E637" s="11"/>
      <c r="F637" s="130">
        <f>IF(E637="",0,IF(E637&gt;0,RANK(E637,E636:E665,1)))</f>
        <v>0</v>
      </c>
      <c r="G637" s="131">
        <f t="shared" ref="G637:G641" si="118">VLOOKUP(F637,$L$3:$M$33,2,0)</f>
        <v>0</v>
      </c>
    </row>
    <row r="638" spans="1:9" ht="16.350000000000001" customHeight="1">
      <c r="A638" s="45">
        <v>3</v>
      </c>
      <c r="B638" s="127" t="s">
        <v>286</v>
      </c>
      <c r="C638" s="120" t="s">
        <v>60</v>
      </c>
      <c r="D638" s="9"/>
      <c r="E638" s="11"/>
      <c r="F638" s="130">
        <f>IF(E638="",0,IF(E638&gt;0,RANK(E638,E636:E665,1)))</f>
        <v>0</v>
      </c>
      <c r="G638" s="131">
        <f t="shared" si="118"/>
        <v>0</v>
      </c>
    </row>
    <row r="639" spans="1:9" ht="16.350000000000001" customHeight="1">
      <c r="A639" s="45">
        <v>4</v>
      </c>
      <c r="B639" s="127" t="s">
        <v>266</v>
      </c>
      <c r="C639" s="120" t="s">
        <v>60</v>
      </c>
      <c r="D639" s="9"/>
      <c r="E639" s="11"/>
      <c r="F639" s="130">
        <f>IF(E639="",0,IF(E639&gt;0,RANK(E639,E636:E665,1)))</f>
        <v>0</v>
      </c>
      <c r="G639" s="131">
        <f t="shared" si="118"/>
        <v>0</v>
      </c>
    </row>
    <row r="640" spans="1:9" ht="16.350000000000001" customHeight="1">
      <c r="A640" s="45">
        <v>5</v>
      </c>
      <c r="B640" s="120" t="s">
        <v>42</v>
      </c>
      <c r="C640" s="120" t="s">
        <v>53</v>
      </c>
      <c r="D640" s="9"/>
      <c r="E640" s="11"/>
      <c r="F640" s="130">
        <f>IF(E640="",0,IF(E640&gt;0,RANK(E640,E636:E665,1)))</f>
        <v>0</v>
      </c>
      <c r="G640" s="131">
        <f t="shared" si="118"/>
        <v>0</v>
      </c>
    </row>
    <row r="641" spans="1:7" ht="16.350000000000001" customHeight="1">
      <c r="A641" s="45">
        <v>6</v>
      </c>
      <c r="B641" s="120" t="s">
        <v>270</v>
      </c>
      <c r="C641" s="120" t="s">
        <v>53</v>
      </c>
      <c r="D641" s="9"/>
      <c r="E641" s="11"/>
      <c r="F641" s="130">
        <f>IF(E641="",0,IF(E641&gt;0,RANK(E641,E636:E665,1)))</f>
        <v>0</v>
      </c>
      <c r="G641" s="131">
        <f t="shared" si="118"/>
        <v>0</v>
      </c>
    </row>
    <row r="642" spans="1:7" s="13" customFormat="1" ht="16.350000000000001" customHeight="1">
      <c r="A642" s="47" t="s">
        <v>324</v>
      </c>
      <c r="B642" s="5"/>
      <c r="C642" s="5"/>
      <c r="D642" s="16"/>
      <c r="E642" s="16"/>
      <c r="F642" s="138"/>
      <c r="G642" s="139"/>
    </row>
    <row r="643" spans="1:7" ht="16.350000000000001" customHeight="1">
      <c r="A643" s="43" t="s">
        <v>0</v>
      </c>
      <c r="B643" s="7" t="s">
        <v>1</v>
      </c>
      <c r="C643" s="8" t="s">
        <v>4</v>
      </c>
      <c r="D643" s="7" t="s">
        <v>2</v>
      </c>
      <c r="E643" s="7" t="s">
        <v>6</v>
      </c>
      <c r="F643" s="128" t="s">
        <v>7</v>
      </c>
      <c r="G643" s="129" t="s">
        <v>8</v>
      </c>
    </row>
    <row r="644" spans="1:7" ht="16.350000000000001" customHeight="1">
      <c r="A644" s="45">
        <v>1</v>
      </c>
      <c r="B644" s="134" t="s">
        <v>327</v>
      </c>
      <c r="C644" s="126" t="s">
        <v>328</v>
      </c>
      <c r="D644" s="9"/>
      <c r="E644" s="11"/>
      <c r="F644" s="130">
        <f>IF(E644="",0,IF(E644&gt;0,RANK(E644,E636:E665,1)))</f>
        <v>0</v>
      </c>
      <c r="G644" s="131">
        <f>VLOOKUP(F644,$L$3:$M$33,2,0)</f>
        <v>0</v>
      </c>
    </row>
    <row r="645" spans="1:7" ht="16.350000000000001" customHeight="1">
      <c r="A645" s="45">
        <v>2</v>
      </c>
      <c r="B645" s="127" t="s">
        <v>267</v>
      </c>
      <c r="C645" s="120" t="s">
        <v>60</v>
      </c>
      <c r="D645" s="9"/>
      <c r="E645" s="11"/>
      <c r="F645" s="130">
        <f>IF(E645="",0,IF(E645&gt;0,RANK(E645,E636:E665,1)))</f>
        <v>0</v>
      </c>
      <c r="G645" s="131">
        <f t="shared" ref="G645:G649" si="119">VLOOKUP(F645,$L$3:$M$33,2,0)</f>
        <v>0</v>
      </c>
    </row>
    <row r="646" spans="1:7" ht="16.350000000000001" customHeight="1">
      <c r="A646" s="45">
        <v>3</v>
      </c>
      <c r="B646" s="120" t="s">
        <v>268</v>
      </c>
      <c r="C646" s="120" t="s">
        <v>269</v>
      </c>
      <c r="D646" s="9"/>
      <c r="E646" s="11"/>
      <c r="F646" s="130">
        <f>IF(E646="",0,IF(E646&gt;0,RANK(E646,E636:E665,1)))</f>
        <v>0</v>
      </c>
      <c r="G646" s="131">
        <f t="shared" si="119"/>
        <v>0</v>
      </c>
    </row>
    <row r="647" spans="1:7" ht="16.350000000000001" customHeight="1">
      <c r="A647" s="45">
        <v>4</v>
      </c>
      <c r="B647" s="120" t="s">
        <v>262</v>
      </c>
      <c r="C647" s="120" t="s">
        <v>53</v>
      </c>
      <c r="D647" s="9"/>
      <c r="E647" s="11"/>
      <c r="F647" s="130">
        <f>IF(E647="",0,IF(E647&gt;0,RANK(E647,E636:E665,1)))</f>
        <v>0</v>
      </c>
      <c r="G647" s="131">
        <f t="shared" si="119"/>
        <v>0</v>
      </c>
    </row>
    <row r="648" spans="1:7" ht="16.350000000000001" customHeight="1">
      <c r="A648" s="45">
        <v>5</v>
      </c>
      <c r="B648" s="120" t="s">
        <v>39</v>
      </c>
      <c r="C648" s="120" t="s">
        <v>58</v>
      </c>
      <c r="D648" s="9"/>
      <c r="E648" s="11"/>
      <c r="F648" s="130">
        <f>IF(E648="",0,IF(E648&gt;0,RANK(E648,E636:E665,1)))</f>
        <v>0</v>
      </c>
      <c r="G648" s="131">
        <f t="shared" si="119"/>
        <v>0</v>
      </c>
    </row>
    <row r="649" spans="1:7" ht="16.350000000000001" customHeight="1">
      <c r="A649" s="45">
        <v>6</v>
      </c>
      <c r="B649" s="120" t="s">
        <v>22</v>
      </c>
      <c r="C649" s="120" t="s">
        <v>56</v>
      </c>
      <c r="D649" s="9"/>
      <c r="E649" s="11"/>
      <c r="F649" s="130">
        <f>IF(E649="",0,IF(E649&gt;0,RANK(E649,E636:E665,1)))</f>
        <v>0</v>
      </c>
      <c r="G649" s="131">
        <f t="shared" si="119"/>
        <v>0</v>
      </c>
    </row>
    <row r="650" spans="1:7" s="13" customFormat="1" ht="16.350000000000001" customHeight="1">
      <c r="A650" s="47" t="s">
        <v>326</v>
      </c>
      <c r="B650" s="5"/>
      <c r="C650" s="5"/>
      <c r="D650" s="16"/>
      <c r="E650" s="16"/>
      <c r="F650" s="138"/>
      <c r="G650" s="139"/>
    </row>
    <row r="651" spans="1:7" ht="16.350000000000001" customHeight="1">
      <c r="A651" s="43" t="s">
        <v>0</v>
      </c>
      <c r="B651" s="7" t="s">
        <v>1</v>
      </c>
      <c r="C651" s="8" t="s">
        <v>4</v>
      </c>
      <c r="D651" s="7" t="s">
        <v>2</v>
      </c>
      <c r="E651" s="7" t="s">
        <v>6</v>
      </c>
      <c r="F651" s="128" t="s">
        <v>7</v>
      </c>
      <c r="G651" s="129" t="s">
        <v>8</v>
      </c>
    </row>
    <row r="652" spans="1:7" ht="16.350000000000001" customHeight="1">
      <c r="A652" s="45">
        <v>1</v>
      </c>
      <c r="B652" s="120" t="s">
        <v>263</v>
      </c>
      <c r="C652" s="120" t="s">
        <v>53</v>
      </c>
      <c r="D652" s="9"/>
      <c r="E652" s="9"/>
      <c r="F652" s="130">
        <f>IF(E652="",0,IF(E652&gt;0,RANK(E652,E636:E665,1)))</f>
        <v>0</v>
      </c>
      <c r="G652" s="131">
        <f>VLOOKUP(F652,$L$3:$M$33,2,0)</f>
        <v>0</v>
      </c>
    </row>
    <row r="653" spans="1:7" ht="16.350000000000001" customHeight="1">
      <c r="A653" s="45">
        <v>2</v>
      </c>
      <c r="B653" s="120" t="s">
        <v>149</v>
      </c>
      <c r="C653" s="120" t="s">
        <v>53</v>
      </c>
      <c r="D653" s="9"/>
      <c r="E653" s="9"/>
      <c r="F653" s="130">
        <f>IF(E653="",0,IF(E653&gt;0,RANK(E653,E636:E665,1)))</f>
        <v>0</v>
      </c>
      <c r="G653" s="131">
        <f t="shared" ref="G653:G657" si="120">VLOOKUP(F653,$L$3:$M$33,2,0)</f>
        <v>0</v>
      </c>
    </row>
    <row r="654" spans="1:7" ht="16.350000000000001" customHeight="1">
      <c r="A654" s="45">
        <v>3</v>
      </c>
      <c r="B654" s="120" t="s">
        <v>150</v>
      </c>
      <c r="C654" s="120" t="s">
        <v>73</v>
      </c>
      <c r="D654" s="9"/>
      <c r="E654" s="9"/>
      <c r="F654" s="130">
        <f>IF(E654="",0,IF(E654&gt;0,RANK(E654,E636:E665,1)))</f>
        <v>0</v>
      </c>
      <c r="G654" s="131">
        <f t="shared" si="120"/>
        <v>0</v>
      </c>
    </row>
    <row r="655" spans="1:7" ht="16.350000000000001" customHeight="1">
      <c r="A655" s="45">
        <v>4</v>
      </c>
      <c r="B655" s="120" t="s">
        <v>264</v>
      </c>
      <c r="C655" s="120" t="s">
        <v>265</v>
      </c>
      <c r="D655" s="9"/>
      <c r="E655" s="9"/>
      <c r="F655" s="130">
        <f>IF(E655="",0,IF(E655&gt;0,RANK(E655,E636:E665,1)))</f>
        <v>0</v>
      </c>
      <c r="G655" s="131">
        <f t="shared" si="120"/>
        <v>0</v>
      </c>
    </row>
    <row r="656" spans="1:7" ht="16.350000000000001" customHeight="1">
      <c r="A656" s="45">
        <v>5</v>
      </c>
      <c r="B656" s="120" t="s">
        <v>213</v>
      </c>
      <c r="C656" s="120" t="s">
        <v>56</v>
      </c>
      <c r="D656" s="9"/>
      <c r="E656" s="9"/>
      <c r="F656" s="130">
        <f>IF(E656="",0,IF(E656&gt;0,RANK(E656,E636:E665,1)))</f>
        <v>0</v>
      </c>
      <c r="G656" s="131">
        <f t="shared" si="120"/>
        <v>0</v>
      </c>
    </row>
    <row r="657" spans="1:11" ht="16.350000000000001" customHeight="1">
      <c r="A657" s="45">
        <v>6</v>
      </c>
      <c r="B657" s="120"/>
      <c r="C657" s="120"/>
      <c r="D657" s="9"/>
      <c r="E657" s="9"/>
      <c r="F657" s="130">
        <f>IF(E657="",0,IF(E657&gt;0,RANK(E657,E636:E665,1)))</f>
        <v>0</v>
      </c>
      <c r="G657" s="131">
        <f t="shared" si="120"/>
        <v>0</v>
      </c>
    </row>
    <row r="658" spans="1:11" ht="16.350000000000001" customHeight="1">
      <c r="A658" s="47" t="s">
        <v>329</v>
      </c>
      <c r="B658" s="5"/>
      <c r="C658" s="4"/>
      <c r="F658" s="128"/>
      <c r="G658" s="132"/>
    </row>
    <row r="659" spans="1:11" ht="16.350000000000001" customHeight="1">
      <c r="A659" s="43" t="s">
        <v>0</v>
      </c>
      <c r="B659" s="7" t="s">
        <v>1</v>
      </c>
      <c r="C659" s="8" t="s">
        <v>4</v>
      </c>
      <c r="D659" s="7" t="s">
        <v>2</v>
      </c>
      <c r="E659" s="7" t="s">
        <v>6</v>
      </c>
      <c r="F659" s="128" t="s">
        <v>7</v>
      </c>
      <c r="G659" s="129" t="s">
        <v>8</v>
      </c>
    </row>
    <row r="660" spans="1:11" ht="16.350000000000001" customHeight="1">
      <c r="A660" s="45">
        <v>1</v>
      </c>
      <c r="B660" s="120"/>
      <c r="C660" s="120"/>
      <c r="D660" s="9"/>
      <c r="E660" s="9"/>
      <c r="F660" s="130">
        <f>IF(E660="",0,IF(E660&gt;0,RANK(E660,E636:E665,1)))</f>
        <v>0</v>
      </c>
      <c r="G660" s="131">
        <f>VLOOKUP(F660,$L$3:$M$33,2,0)</f>
        <v>0</v>
      </c>
    </row>
    <row r="661" spans="1:11" ht="16.350000000000001" customHeight="1">
      <c r="A661" s="45">
        <v>2</v>
      </c>
      <c r="B661" s="120" t="s">
        <v>271</v>
      </c>
      <c r="C661" s="120" t="s">
        <v>56</v>
      </c>
      <c r="D661" s="9"/>
      <c r="E661" s="9"/>
      <c r="F661" s="130">
        <f>IF(E661="",0,IF(E661&gt;0,RANK(E661,E636:E665,1)))</f>
        <v>0</v>
      </c>
      <c r="G661" s="131">
        <f t="shared" ref="G661:G665" si="121">VLOOKUP(F661,$L$3:$M$33,2,0)</f>
        <v>0</v>
      </c>
    </row>
    <row r="662" spans="1:11" ht="16.350000000000001" customHeight="1">
      <c r="A662" s="45">
        <v>3</v>
      </c>
      <c r="B662" s="120" t="s">
        <v>40</v>
      </c>
      <c r="C662" s="120" t="s">
        <v>56</v>
      </c>
      <c r="D662" s="9"/>
      <c r="E662" s="9"/>
      <c r="F662" s="130">
        <f>IF(E662="",0,IF(E662&gt;0,RANK(E662,E636:E665,1)))</f>
        <v>0</v>
      </c>
      <c r="G662" s="131">
        <f t="shared" si="121"/>
        <v>0</v>
      </c>
    </row>
    <row r="663" spans="1:11" ht="16.350000000000001" customHeight="1">
      <c r="A663" s="45">
        <v>4</v>
      </c>
      <c r="B663" s="127" t="s">
        <v>151</v>
      </c>
      <c r="C663" s="120" t="s">
        <v>73</v>
      </c>
      <c r="D663" s="9"/>
      <c r="E663" s="9"/>
      <c r="F663" s="130">
        <f>IF(E663="",0,IF(E663&gt;0,RANK(E663,E636:E665,1)))</f>
        <v>0</v>
      </c>
      <c r="G663" s="131">
        <f t="shared" si="121"/>
        <v>0</v>
      </c>
    </row>
    <row r="664" spans="1:11" ht="16.350000000000001" customHeight="1">
      <c r="A664" s="45">
        <v>5</v>
      </c>
      <c r="B664" s="120" t="s">
        <v>36</v>
      </c>
      <c r="C664" s="120" t="s">
        <v>53</v>
      </c>
      <c r="D664" s="9"/>
      <c r="E664" s="11"/>
      <c r="F664" s="130">
        <f>IF(E664="",0,IF(E664&gt;0,RANK(E664,E636:E665,1)))</f>
        <v>0</v>
      </c>
      <c r="G664" s="131">
        <f t="shared" si="121"/>
        <v>0</v>
      </c>
    </row>
    <row r="665" spans="1:11" ht="16.350000000000001" customHeight="1">
      <c r="A665" s="45">
        <v>6</v>
      </c>
      <c r="B665" s="85"/>
      <c r="C665" s="85"/>
      <c r="D665" s="9"/>
      <c r="E665" s="11"/>
      <c r="F665" s="130">
        <f>IF(E665="",0,IF(E665&gt;0,RANK(E665,E636:E665,1)))</f>
        <v>0</v>
      </c>
      <c r="G665" s="131">
        <f t="shared" si="121"/>
        <v>0</v>
      </c>
    </row>
    <row r="666" spans="1:11" ht="16.350000000000001" customHeight="1">
      <c r="A666" s="47" t="s">
        <v>330</v>
      </c>
      <c r="B666" s="5"/>
      <c r="C666" s="4"/>
      <c r="G666" s="48"/>
    </row>
    <row r="667" spans="1:11" ht="16.350000000000001" customHeight="1">
      <c r="A667" s="43" t="s">
        <v>0</v>
      </c>
      <c r="B667" s="7" t="s">
        <v>1</v>
      </c>
      <c r="C667" s="8" t="s">
        <v>4</v>
      </c>
      <c r="D667" s="7" t="s">
        <v>2</v>
      </c>
      <c r="E667" s="7" t="s">
        <v>6</v>
      </c>
      <c r="F667" s="7" t="s">
        <v>7</v>
      </c>
      <c r="G667" s="44" t="s">
        <v>8</v>
      </c>
    </row>
    <row r="668" spans="1:11" ht="16.350000000000001" customHeight="1">
      <c r="A668" s="45">
        <v>1</v>
      </c>
      <c r="B668" s="126" t="s">
        <v>215</v>
      </c>
      <c r="C668" s="126" t="s">
        <v>98</v>
      </c>
      <c r="D668" s="9"/>
      <c r="E668" s="9"/>
      <c r="F668" s="10">
        <f>IF(E668="",0,IF(E668&gt;0,RANK(E668,E668:E673,1)))</f>
        <v>0</v>
      </c>
      <c r="G668" s="46">
        <f>VLOOKUP(F668,$L$3:$M$33,2,0)</f>
        <v>0</v>
      </c>
    </row>
    <row r="669" spans="1:11" ht="16.350000000000001" customHeight="1">
      <c r="A669" s="45">
        <v>2</v>
      </c>
      <c r="B669" s="120" t="s">
        <v>273</v>
      </c>
      <c r="C669" s="120" t="s">
        <v>53</v>
      </c>
      <c r="D669" s="9"/>
      <c r="E669" s="11"/>
      <c r="F669" s="10">
        <f>IF(E669="",0,IF(E669&gt;0,RANK(E669,E668:E673,1)))</f>
        <v>0</v>
      </c>
      <c r="G669" s="46">
        <f t="shared" ref="G669:G673" si="122">VLOOKUP(F669,$L$3:$M$33,2,0)</f>
        <v>0</v>
      </c>
    </row>
    <row r="670" spans="1:11" ht="16.350000000000001" customHeight="1">
      <c r="A670" s="45">
        <v>3</v>
      </c>
      <c r="B670" s="120" t="s">
        <v>274</v>
      </c>
      <c r="C670" s="120" t="s">
        <v>277</v>
      </c>
      <c r="D670" s="9"/>
      <c r="E670" s="11"/>
      <c r="F670" s="10">
        <f>IF(E670="",0,IF(E670&gt;0,RANK(E670,E668:E673,1)))</f>
        <v>0</v>
      </c>
      <c r="G670" s="46">
        <f t="shared" si="122"/>
        <v>0</v>
      </c>
    </row>
    <row r="671" spans="1:11" ht="16.350000000000001" customHeight="1">
      <c r="A671" s="45">
        <v>4</v>
      </c>
      <c r="B671" s="120" t="s">
        <v>288</v>
      </c>
      <c r="C671" s="120" t="s">
        <v>201</v>
      </c>
      <c r="D671" s="9"/>
      <c r="E671" s="11"/>
      <c r="F671" s="10">
        <f>IF(E671="",0,IF(E671&gt;0,RANK(E671,E668:E673,1)))</f>
        <v>0</v>
      </c>
      <c r="G671" s="46">
        <f t="shared" si="122"/>
        <v>0</v>
      </c>
      <c r="H671" s="31">
        <v>550812</v>
      </c>
      <c r="I671" s="101"/>
      <c r="J671" s="101"/>
      <c r="K671" s="101"/>
    </row>
    <row r="672" spans="1:11" ht="16.350000000000001" customHeight="1">
      <c r="A672" s="45">
        <v>5</v>
      </c>
      <c r="B672" s="120" t="s">
        <v>276</v>
      </c>
      <c r="C672" s="120" t="s">
        <v>280</v>
      </c>
      <c r="D672" s="9"/>
      <c r="E672" s="11"/>
      <c r="F672" s="10">
        <f>IF(E672="",0,IF(E672&gt;0,RANK(E672,E668:E673,1)))</f>
        <v>0</v>
      </c>
      <c r="G672" s="46">
        <f t="shared" si="122"/>
        <v>0</v>
      </c>
    </row>
    <row r="673" spans="1:11" ht="16.350000000000001" customHeight="1">
      <c r="A673" s="45">
        <v>6</v>
      </c>
      <c r="B673" s="120" t="s">
        <v>43</v>
      </c>
      <c r="C673" s="120" t="s">
        <v>280</v>
      </c>
      <c r="D673" s="9"/>
      <c r="E673" s="11"/>
      <c r="F673" s="10">
        <f>IF(E673="",0,IF(E673&gt;0,RANK(E673,E668:E673,1)))</f>
        <v>0</v>
      </c>
      <c r="G673" s="46">
        <f t="shared" si="122"/>
        <v>0</v>
      </c>
    </row>
    <row r="674" spans="1:11" ht="16.350000000000001" customHeight="1">
      <c r="A674" s="114" t="s">
        <v>331</v>
      </c>
      <c r="B674" s="5"/>
      <c r="C674" s="4"/>
      <c r="G674" s="48"/>
    </row>
    <row r="675" spans="1:11" ht="16.350000000000001" customHeight="1">
      <c r="A675" s="43" t="s">
        <v>0</v>
      </c>
      <c r="B675" s="7" t="s">
        <v>1</v>
      </c>
      <c r="C675" s="149" t="s">
        <v>4</v>
      </c>
      <c r="D675" s="7" t="s">
        <v>2</v>
      </c>
      <c r="E675" s="7" t="s">
        <v>6</v>
      </c>
      <c r="F675" s="7" t="s">
        <v>7</v>
      </c>
      <c r="G675" s="44" t="s">
        <v>8</v>
      </c>
    </row>
    <row r="676" spans="1:11" ht="16.350000000000001" customHeight="1">
      <c r="A676" s="45">
        <v>1</v>
      </c>
      <c r="B676" s="91"/>
      <c r="C676" s="121" t="s">
        <v>345</v>
      </c>
      <c r="D676" s="119"/>
      <c r="E676" s="9"/>
      <c r="F676" s="10">
        <f>IF(E676="",0,IF(E676&gt;0,RANK(E676,E676:E681,1)))</f>
        <v>0</v>
      </c>
      <c r="G676" s="50">
        <f>VLOOKUP(F676,$O$3:$P$33,2,0)</f>
        <v>0</v>
      </c>
    </row>
    <row r="677" spans="1:11" ht="16.350000000000001" customHeight="1">
      <c r="A677" s="45">
        <v>2</v>
      </c>
      <c r="B677" s="146"/>
      <c r="C677" s="121" t="s">
        <v>347</v>
      </c>
      <c r="D677" s="119"/>
      <c r="E677" s="9"/>
      <c r="F677" s="10">
        <f>IF(E677="",0,IF(E677&gt;0,RANK(E677,E676:E681,1)))</f>
        <v>0</v>
      </c>
      <c r="G677" s="50">
        <f t="shared" ref="G677:G681" si="123">VLOOKUP(F677,$O$3:$P$33,2,0)</f>
        <v>0</v>
      </c>
    </row>
    <row r="678" spans="1:11" ht="16.350000000000001" customHeight="1">
      <c r="A678" s="45">
        <v>3</v>
      </c>
      <c r="B678" s="147"/>
      <c r="C678" s="121" t="s">
        <v>346</v>
      </c>
      <c r="D678" s="148"/>
      <c r="E678" s="9"/>
      <c r="F678" s="10">
        <f>IF(E678="",0,IF(E678&gt;0,RANK(E678,E676:E681,1)))</f>
        <v>0</v>
      </c>
      <c r="G678" s="50">
        <f t="shared" si="123"/>
        <v>0</v>
      </c>
    </row>
    <row r="679" spans="1:11" ht="16.350000000000001" customHeight="1">
      <c r="A679" s="45">
        <v>4</v>
      </c>
      <c r="B679" s="147"/>
      <c r="C679" s="121" t="s">
        <v>348</v>
      </c>
      <c r="D679" s="119"/>
      <c r="E679" s="9"/>
      <c r="F679" s="10">
        <f>IF(E679="",0,IF(E679&gt;0,RANK(E679,E676:E681,1)))</f>
        <v>0</v>
      </c>
      <c r="G679" s="50">
        <f t="shared" si="123"/>
        <v>0</v>
      </c>
      <c r="H679" s="31">
        <v>550812</v>
      </c>
      <c r="I679" s="101"/>
      <c r="J679" s="101"/>
      <c r="K679" s="101"/>
    </row>
    <row r="680" spans="1:11" ht="16.350000000000001" customHeight="1">
      <c r="A680" s="45">
        <v>5</v>
      </c>
      <c r="B680" s="78"/>
      <c r="C680" s="121" t="s">
        <v>349</v>
      </c>
      <c r="D680" s="119"/>
      <c r="E680" s="9"/>
      <c r="F680" s="10">
        <f>IF(E680="",0,IF(E680&gt;0,RANK(E680,E676:E681,1)))</f>
        <v>0</v>
      </c>
      <c r="G680" s="50">
        <f t="shared" si="123"/>
        <v>0</v>
      </c>
    </row>
    <row r="681" spans="1:11" ht="16.350000000000001" customHeight="1">
      <c r="A681" s="45">
        <v>6</v>
      </c>
      <c r="B681" s="91"/>
      <c r="C681" s="121" t="s">
        <v>350</v>
      </c>
      <c r="D681" s="119"/>
      <c r="E681" s="9"/>
      <c r="F681" s="10">
        <f>IF(E681="",0,IF(E681&gt;0,RANK(E681,E676:E681,1)))</f>
        <v>0</v>
      </c>
      <c r="G681" s="50">
        <f t="shared" si="123"/>
        <v>0</v>
      </c>
    </row>
    <row r="682" spans="1:11" ht="16.350000000000001" customHeight="1">
      <c r="A682" s="114" t="s">
        <v>351</v>
      </c>
      <c r="B682" s="5"/>
      <c r="C682" s="6"/>
      <c r="G682" s="48"/>
    </row>
    <row r="683" spans="1:11" ht="16.350000000000001" customHeight="1">
      <c r="A683" s="43" t="s">
        <v>0</v>
      </c>
      <c r="B683" s="7" t="s">
        <v>1</v>
      </c>
      <c r="C683" s="8" t="s">
        <v>4</v>
      </c>
      <c r="D683" s="7" t="s">
        <v>2</v>
      </c>
      <c r="E683" s="7" t="s">
        <v>6</v>
      </c>
      <c r="F683" s="7" t="s">
        <v>7</v>
      </c>
      <c r="G683" s="44" t="s">
        <v>8</v>
      </c>
      <c r="I683" s="110"/>
    </row>
    <row r="684" spans="1:11" ht="16.350000000000001" customHeight="1">
      <c r="A684" s="45">
        <v>1</v>
      </c>
      <c r="B684" s="85"/>
      <c r="C684" s="85"/>
      <c r="D684" s="9"/>
      <c r="E684" s="9"/>
      <c r="F684" s="10">
        <f t="shared" ref="F684:F689" si="124">IF(E684="",0,IF(E684&gt;0,RANK(E684,$E$684:$E$689,1)))</f>
        <v>0</v>
      </c>
      <c r="G684" s="50">
        <f t="shared" ref="G684:G689" si="125">VLOOKUP(F684,$O$3:$P$33,2,0)</f>
        <v>0</v>
      </c>
      <c r="I684" s="110"/>
    </row>
    <row r="685" spans="1:11" ht="16.350000000000001" customHeight="1">
      <c r="A685" s="45">
        <v>2</v>
      </c>
      <c r="B685" s="147"/>
      <c r="C685" s="85"/>
      <c r="D685" s="119"/>
      <c r="E685" s="9"/>
      <c r="F685" s="10">
        <f t="shared" si="124"/>
        <v>0</v>
      </c>
      <c r="G685" s="50">
        <f t="shared" si="125"/>
        <v>0</v>
      </c>
      <c r="I685" s="110"/>
    </row>
    <row r="686" spans="1:11" ht="16.350000000000001" customHeight="1">
      <c r="A686" s="45">
        <v>3</v>
      </c>
      <c r="B686" s="147"/>
      <c r="C686" s="121" t="s">
        <v>354</v>
      </c>
      <c r="D686" s="119"/>
      <c r="E686" s="9"/>
      <c r="F686" s="10">
        <f t="shared" si="124"/>
        <v>0</v>
      </c>
      <c r="G686" s="50">
        <f t="shared" si="125"/>
        <v>0</v>
      </c>
      <c r="I686" s="110"/>
    </row>
    <row r="687" spans="1:11" ht="16.350000000000001" customHeight="1">
      <c r="A687" s="45">
        <v>4</v>
      </c>
      <c r="B687" s="147"/>
      <c r="C687" s="121" t="s">
        <v>63</v>
      </c>
      <c r="D687" s="119"/>
      <c r="E687" s="9"/>
      <c r="F687" s="10">
        <f t="shared" si="124"/>
        <v>0</v>
      </c>
      <c r="G687" s="50">
        <f t="shared" si="125"/>
        <v>0</v>
      </c>
      <c r="I687" s="110"/>
    </row>
    <row r="688" spans="1:11" ht="16.350000000000001" customHeight="1">
      <c r="A688" s="45">
        <v>5</v>
      </c>
      <c r="B688" s="147"/>
      <c r="C688" s="85"/>
      <c r="D688" s="119"/>
      <c r="E688" s="9"/>
      <c r="F688" s="10">
        <f t="shared" si="124"/>
        <v>0</v>
      </c>
      <c r="G688" s="50">
        <f t="shared" si="125"/>
        <v>0</v>
      </c>
      <c r="I688" s="110"/>
    </row>
    <row r="689" spans="1:9" ht="16.350000000000001" customHeight="1">
      <c r="A689" s="45">
        <v>6</v>
      </c>
      <c r="B689" s="85"/>
      <c r="C689" s="85"/>
      <c r="D689" s="9"/>
      <c r="E689" s="9"/>
      <c r="F689" s="10">
        <f t="shared" si="124"/>
        <v>0</v>
      </c>
      <c r="G689" s="50">
        <f t="shared" si="125"/>
        <v>0</v>
      </c>
      <c r="I689" s="110"/>
    </row>
    <row r="690" spans="1:9" ht="16.350000000000001" customHeight="1">
      <c r="A690" s="114" t="s">
        <v>355</v>
      </c>
      <c r="B690" s="5"/>
      <c r="C690" s="6"/>
      <c r="G690" s="48"/>
      <c r="I690" s="110"/>
    </row>
    <row r="691" spans="1:9" ht="16.350000000000001" customHeight="1">
      <c r="A691" s="43" t="s">
        <v>0</v>
      </c>
      <c r="B691" s="7" t="s">
        <v>1</v>
      </c>
      <c r="C691" s="149" t="s">
        <v>4</v>
      </c>
      <c r="D691" s="7" t="s">
        <v>2</v>
      </c>
      <c r="E691" s="7" t="s">
        <v>6</v>
      </c>
      <c r="F691" s="7" t="s">
        <v>7</v>
      </c>
      <c r="G691" s="44" t="s">
        <v>8</v>
      </c>
      <c r="I691" s="110"/>
    </row>
    <row r="692" spans="1:9" ht="16.350000000000001" customHeight="1">
      <c r="A692" s="45">
        <v>1</v>
      </c>
      <c r="B692" s="147"/>
      <c r="C692" s="121" t="s">
        <v>357</v>
      </c>
      <c r="D692" s="119"/>
      <c r="E692" s="9"/>
      <c r="F692" s="10">
        <f t="shared" ref="F692:F697" si="126">IF(E692="",0,IF(E692&gt;0,RANK(E692,$E$692:$E$697,1)))</f>
        <v>0</v>
      </c>
      <c r="G692" s="50">
        <f t="shared" ref="G692:G697" si="127">VLOOKUP(F692,$O$3:$P$33,2,0)</f>
        <v>0</v>
      </c>
      <c r="I692" s="110"/>
    </row>
    <row r="693" spans="1:9" ht="16.350000000000001" customHeight="1">
      <c r="A693" s="45">
        <v>2</v>
      </c>
      <c r="B693" s="147"/>
      <c r="C693" s="121" t="s">
        <v>353</v>
      </c>
      <c r="D693" s="119"/>
      <c r="E693" s="9"/>
      <c r="F693" s="10">
        <f t="shared" si="126"/>
        <v>0</v>
      </c>
      <c r="G693" s="50">
        <f t="shared" si="127"/>
        <v>0</v>
      </c>
      <c r="I693" s="110"/>
    </row>
    <row r="694" spans="1:9" ht="16.350000000000001" customHeight="1">
      <c r="A694" s="45">
        <v>3</v>
      </c>
      <c r="B694" s="147"/>
      <c r="C694" s="121" t="s">
        <v>358</v>
      </c>
      <c r="D694" s="119"/>
      <c r="E694" s="9"/>
      <c r="F694" s="10">
        <f t="shared" si="126"/>
        <v>0</v>
      </c>
      <c r="G694" s="50">
        <f t="shared" si="127"/>
        <v>0</v>
      </c>
      <c r="I694" s="110"/>
    </row>
    <row r="695" spans="1:9" ht="16.350000000000001" customHeight="1">
      <c r="A695" s="45">
        <v>4</v>
      </c>
      <c r="B695" s="147"/>
      <c r="C695" s="121" t="s">
        <v>359</v>
      </c>
      <c r="D695" s="119"/>
      <c r="E695" s="9"/>
      <c r="F695" s="10">
        <f t="shared" si="126"/>
        <v>0</v>
      </c>
      <c r="G695" s="50">
        <f t="shared" si="127"/>
        <v>0</v>
      </c>
      <c r="I695" s="110"/>
    </row>
    <row r="696" spans="1:9" ht="16.350000000000001" customHeight="1">
      <c r="A696" s="45">
        <v>5</v>
      </c>
      <c r="B696" s="147"/>
      <c r="C696" s="121" t="s">
        <v>360</v>
      </c>
      <c r="D696" s="119"/>
      <c r="E696" s="9"/>
      <c r="F696" s="10">
        <f t="shared" si="126"/>
        <v>0</v>
      </c>
      <c r="G696" s="50">
        <f t="shared" si="127"/>
        <v>0</v>
      </c>
      <c r="I696" s="110"/>
    </row>
    <row r="697" spans="1:9" ht="16.350000000000001" customHeight="1">
      <c r="A697" s="45">
        <v>6</v>
      </c>
      <c r="B697" s="147"/>
      <c r="C697" s="121" t="s">
        <v>361</v>
      </c>
      <c r="D697" s="119"/>
      <c r="E697" s="9"/>
      <c r="F697" s="10">
        <f t="shared" si="126"/>
        <v>0</v>
      </c>
      <c r="G697" s="50">
        <f t="shared" si="127"/>
        <v>0</v>
      </c>
      <c r="I697" s="110"/>
    </row>
    <row r="698" spans="1:9" ht="16.350000000000001" customHeight="1">
      <c r="A698" s="114" t="s">
        <v>356</v>
      </c>
      <c r="B698" s="18"/>
      <c r="C698" s="18"/>
      <c r="G698" s="48"/>
    </row>
    <row r="699" spans="1:9" ht="16.350000000000001" customHeight="1">
      <c r="A699" s="43" t="s">
        <v>0</v>
      </c>
      <c r="B699" s="7" t="s">
        <v>1</v>
      </c>
      <c r="C699" s="8" t="s">
        <v>4</v>
      </c>
      <c r="D699" s="7" t="s">
        <v>2</v>
      </c>
      <c r="E699" s="7" t="s">
        <v>6</v>
      </c>
      <c r="F699" s="7" t="s">
        <v>7</v>
      </c>
      <c r="G699" s="44" t="s">
        <v>8</v>
      </c>
      <c r="I699" s="110"/>
    </row>
    <row r="700" spans="1:9" ht="16.350000000000001" customHeight="1">
      <c r="A700" s="45">
        <v>1</v>
      </c>
      <c r="B700" s="85"/>
      <c r="C700" s="85"/>
      <c r="D700" s="9"/>
      <c r="E700" s="11"/>
      <c r="F700" s="10">
        <f t="shared" ref="F700:F705" si="128">IF(E700="",0,IF(E700&gt;0,RANK(E700,$E$700:$E$705,1)))</f>
        <v>0</v>
      </c>
      <c r="G700" s="50">
        <f t="shared" ref="G700:G705" si="129">VLOOKUP(F700,$O$3:$P$33,2,0)</f>
        <v>0</v>
      </c>
      <c r="I700" s="110"/>
    </row>
    <row r="701" spans="1:9" ht="16.350000000000001" customHeight="1">
      <c r="A701" s="45">
        <v>2</v>
      </c>
      <c r="B701" s="85"/>
      <c r="C701" s="150"/>
      <c r="D701" s="9"/>
      <c r="E701" s="11"/>
      <c r="F701" s="10">
        <f t="shared" si="128"/>
        <v>0</v>
      </c>
      <c r="G701" s="50">
        <f t="shared" si="129"/>
        <v>0</v>
      </c>
      <c r="I701" s="110"/>
    </row>
    <row r="702" spans="1:9" ht="16.350000000000001" customHeight="1">
      <c r="A702" s="45">
        <v>3</v>
      </c>
      <c r="B702" s="147"/>
      <c r="C702" s="121" t="s">
        <v>353</v>
      </c>
      <c r="D702" s="119"/>
      <c r="E702" s="11"/>
      <c r="F702" s="10">
        <f t="shared" si="128"/>
        <v>0</v>
      </c>
      <c r="G702" s="50">
        <f t="shared" si="129"/>
        <v>0</v>
      </c>
      <c r="I702" s="110"/>
    </row>
    <row r="703" spans="1:9" ht="16.350000000000001" customHeight="1">
      <c r="A703" s="45">
        <v>4</v>
      </c>
      <c r="B703" s="147"/>
      <c r="C703" s="121" t="s">
        <v>358</v>
      </c>
      <c r="D703" s="119"/>
      <c r="E703" s="11"/>
      <c r="F703" s="10">
        <f t="shared" si="128"/>
        <v>0</v>
      </c>
      <c r="G703" s="50">
        <f t="shared" si="129"/>
        <v>0</v>
      </c>
      <c r="I703" s="110"/>
    </row>
    <row r="704" spans="1:9" ht="16.350000000000001" customHeight="1">
      <c r="A704" s="45">
        <v>5</v>
      </c>
      <c r="B704" s="85"/>
      <c r="C704" s="85"/>
      <c r="D704" s="9"/>
      <c r="E704" s="11"/>
      <c r="F704" s="10">
        <f t="shared" si="128"/>
        <v>0</v>
      </c>
      <c r="G704" s="50">
        <f t="shared" si="129"/>
        <v>0</v>
      </c>
      <c r="I704" s="110"/>
    </row>
    <row r="705" spans="1:9" ht="16.350000000000001" customHeight="1">
      <c r="A705" s="45">
        <v>6</v>
      </c>
      <c r="B705" s="85"/>
      <c r="C705" s="85"/>
      <c r="D705" s="22"/>
      <c r="E705" s="11"/>
      <c r="F705" s="10">
        <f t="shared" si="128"/>
        <v>0</v>
      </c>
      <c r="G705" s="50">
        <f t="shared" si="129"/>
        <v>0</v>
      </c>
      <c r="I705" s="110"/>
    </row>
    <row r="706" spans="1:9" ht="16.350000000000001" customHeight="1">
      <c r="A706" s="47" t="s">
        <v>362</v>
      </c>
      <c r="B706" s="18"/>
      <c r="C706" s="18"/>
      <c r="G706" s="48"/>
      <c r="I706" s="110"/>
    </row>
    <row r="707" spans="1:9" ht="16.350000000000001" customHeight="1">
      <c r="A707" s="43" t="s">
        <v>0</v>
      </c>
      <c r="B707" s="7" t="s">
        <v>1</v>
      </c>
      <c r="C707" s="149" t="s">
        <v>4</v>
      </c>
      <c r="D707" s="7" t="s">
        <v>2</v>
      </c>
      <c r="E707" s="7" t="s">
        <v>6</v>
      </c>
      <c r="F707" s="128" t="s">
        <v>7</v>
      </c>
      <c r="G707" s="129" t="s">
        <v>8</v>
      </c>
      <c r="I707" s="110"/>
    </row>
    <row r="708" spans="1:9" ht="16.350000000000001" customHeight="1">
      <c r="A708" s="45">
        <v>1</v>
      </c>
      <c r="B708" s="147"/>
      <c r="C708" s="121" t="s">
        <v>364</v>
      </c>
      <c r="D708" s="119"/>
      <c r="E708" s="11"/>
      <c r="F708" s="130">
        <f t="shared" ref="F708:F713" si="130">IF(E708="",0,IF(E708&gt;0,RANK(E708,$E$708:$E$721,1)))</f>
        <v>0</v>
      </c>
      <c r="G708" s="131">
        <f t="shared" ref="G708:G713" si="131">VLOOKUP(F708,$O$3:$P$33,2,0)</f>
        <v>0</v>
      </c>
      <c r="I708" s="110"/>
    </row>
    <row r="709" spans="1:9" ht="16.350000000000001" customHeight="1">
      <c r="A709" s="45">
        <v>2</v>
      </c>
      <c r="B709" s="147"/>
      <c r="C709" s="121" t="s">
        <v>62</v>
      </c>
      <c r="D709" s="119"/>
      <c r="E709" s="11"/>
      <c r="F709" s="130">
        <f t="shared" si="130"/>
        <v>0</v>
      </c>
      <c r="G709" s="131">
        <f t="shared" si="131"/>
        <v>0</v>
      </c>
      <c r="I709" s="110"/>
    </row>
    <row r="710" spans="1:9" ht="16.350000000000001" customHeight="1">
      <c r="A710" s="45">
        <v>3</v>
      </c>
      <c r="B710" s="147"/>
      <c r="C710" s="121" t="s">
        <v>365</v>
      </c>
      <c r="D710" s="119"/>
      <c r="E710" s="11"/>
      <c r="F710" s="130">
        <f t="shared" si="130"/>
        <v>0</v>
      </c>
      <c r="G710" s="131">
        <f t="shared" si="131"/>
        <v>0</v>
      </c>
      <c r="I710" s="110"/>
    </row>
    <row r="711" spans="1:9" ht="16.350000000000001" customHeight="1">
      <c r="A711" s="45">
        <v>4</v>
      </c>
      <c r="B711" s="147"/>
      <c r="C711" s="121" t="s">
        <v>366</v>
      </c>
      <c r="D711" s="119"/>
      <c r="E711" s="11"/>
      <c r="F711" s="130">
        <f t="shared" si="130"/>
        <v>0</v>
      </c>
      <c r="G711" s="131">
        <f t="shared" si="131"/>
        <v>0</v>
      </c>
      <c r="I711" s="110"/>
    </row>
    <row r="712" spans="1:9" ht="16.350000000000001" customHeight="1">
      <c r="A712" s="45">
        <v>5</v>
      </c>
      <c r="B712" s="147"/>
      <c r="C712" s="121" t="s">
        <v>367</v>
      </c>
      <c r="D712" s="119"/>
      <c r="E712" s="11"/>
      <c r="F712" s="130">
        <f t="shared" si="130"/>
        <v>0</v>
      </c>
      <c r="G712" s="131">
        <f t="shared" si="131"/>
        <v>0</v>
      </c>
      <c r="I712" s="110"/>
    </row>
    <row r="713" spans="1:9" ht="16.350000000000001" customHeight="1">
      <c r="A713" s="45">
        <v>6</v>
      </c>
      <c r="B713" s="23"/>
      <c r="C713" s="151"/>
      <c r="D713" s="22"/>
      <c r="E713" s="11"/>
      <c r="F713" s="130">
        <f t="shared" si="130"/>
        <v>0</v>
      </c>
      <c r="G713" s="131">
        <f t="shared" si="131"/>
        <v>0</v>
      </c>
      <c r="I713" s="110"/>
    </row>
    <row r="714" spans="1:9" s="13" customFormat="1" ht="16.350000000000001" customHeight="1">
      <c r="A714" s="47" t="s">
        <v>363</v>
      </c>
      <c r="B714" s="5"/>
      <c r="C714" s="5"/>
      <c r="D714" s="16"/>
      <c r="E714" s="16"/>
      <c r="F714" s="138"/>
      <c r="G714" s="139"/>
    </row>
    <row r="715" spans="1:9" ht="16.350000000000001" customHeight="1">
      <c r="A715" s="43" t="s">
        <v>0</v>
      </c>
      <c r="B715" s="7" t="s">
        <v>1</v>
      </c>
      <c r="C715" s="149" t="s">
        <v>4</v>
      </c>
      <c r="D715" s="7" t="s">
        <v>2</v>
      </c>
      <c r="E715" s="7" t="s">
        <v>6</v>
      </c>
      <c r="F715" s="128" t="s">
        <v>7</v>
      </c>
      <c r="G715" s="129" t="s">
        <v>8</v>
      </c>
      <c r="I715" s="110"/>
    </row>
    <row r="716" spans="1:9" ht="16.350000000000001" customHeight="1">
      <c r="A716" s="45">
        <v>1</v>
      </c>
      <c r="B716" s="147"/>
      <c r="C716" s="121" t="s">
        <v>369</v>
      </c>
      <c r="D716" s="119"/>
      <c r="E716" s="9"/>
      <c r="F716" s="130">
        <f t="shared" ref="F716:F721" si="132">IF(E716="",0,IF(E716&gt;0,RANK(E716,$E$708:$E$721,1)))</f>
        <v>0</v>
      </c>
      <c r="G716" s="131">
        <f t="shared" ref="G716:G721" si="133">VLOOKUP(F716,$O$3:$P$33,2,0)</f>
        <v>0</v>
      </c>
      <c r="I716" s="110"/>
    </row>
    <row r="717" spans="1:9" ht="16.350000000000001" customHeight="1">
      <c r="A717" s="45">
        <v>2</v>
      </c>
      <c r="B717" s="147"/>
      <c r="C717" s="121" t="s">
        <v>350</v>
      </c>
      <c r="D717" s="119"/>
      <c r="E717" s="9"/>
      <c r="F717" s="130">
        <f t="shared" si="132"/>
        <v>0</v>
      </c>
      <c r="G717" s="131">
        <f t="shared" si="133"/>
        <v>0</v>
      </c>
      <c r="I717" s="110"/>
    </row>
    <row r="718" spans="1:9" ht="16.350000000000001" customHeight="1">
      <c r="A718" s="45">
        <v>3</v>
      </c>
      <c r="B718" s="147"/>
      <c r="C718" s="121" t="s">
        <v>368</v>
      </c>
      <c r="D718" s="119"/>
      <c r="E718" s="9"/>
      <c r="F718" s="130">
        <f t="shared" si="132"/>
        <v>0</v>
      </c>
      <c r="G718" s="131">
        <f t="shared" si="133"/>
        <v>0</v>
      </c>
      <c r="I718" s="110"/>
    </row>
    <row r="719" spans="1:9" ht="16.350000000000001" customHeight="1">
      <c r="A719" s="45">
        <v>4</v>
      </c>
      <c r="B719" s="147"/>
      <c r="C719" s="121" t="s">
        <v>370</v>
      </c>
      <c r="D719" s="119"/>
      <c r="E719" s="9"/>
      <c r="F719" s="130">
        <f t="shared" si="132"/>
        <v>0</v>
      </c>
      <c r="G719" s="131">
        <f t="shared" si="133"/>
        <v>0</v>
      </c>
      <c r="I719" s="110"/>
    </row>
    <row r="720" spans="1:9" ht="16.350000000000001" customHeight="1">
      <c r="A720" s="45">
        <v>5</v>
      </c>
      <c r="B720" s="147"/>
      <c r="C720" s="121" t="s">
        <v>371</v>
      </c>
      <c r="D720" s="119"/>
      <c r="E720" s="9"/>
      <c r="F720" s="130">
        <f t="shared" si="132"/>
        <v>0</v>
      </c>
      <c r="G720" s="131">
        <f t="shared" si="133"/>
        <v>0</v>
      </c>
      <c r="I720" s="110"/>
    </row>
    <row r="721" spans="1:9" ht="16.350000000000001" customHeight="1">
      <c r="A721" s="45">
        <v>6</v>
      </c>
      <c r="B721" s="85"/>
      <c r="C721" s="121"/>
      <c r="D721" s="9"/>
      <c r="E721" s="9"/>
      <c r="F721" s="130">
        <f t="shared" si="132"/>
        <v>0</v>
      </c>
      <c r="G721" s="131">
        <f t="shared" si="133"/>
        <v>0</v>
      </c>
      <c r="I721" s="110"/>
    </row>
    <row r="722" spans="1:9" ht="16.350000000000001" customHeight="1">
      <c r="A722" s="47" t="s">
        <v>372</v>
      </c>
      <c r="B722" s="5"/>
      <c r="C722" s="5"/>
      <c r="D722" s="16"/>
      <c r="E722" s="16"/>
      <c r="F722" s="16"/>
      <c r="G722" s="52"/>
      <c r="I722" s="110"/>
    </row>
    <row r="723" spans="1:9" ht="16.350000000000001" customHeight="1">
      <c r="A723" s="43" t="s">
        <v>0</v>
      </c>
      <c r="B723" s="7" t="s">
        <v>1</v>
      </c>
      <c r="C723" s="149" t="s">
        <v>4</v>
      </c>
      <c r="D723" s="7" t="s">
        <v>2</v>
      </c>
      <c r="E723" s="7" t="s">
        <v>6</v>
      </c>
      <c r="F723" s="7" t="s">
        <v>7</v>
      </c>
      <c r="G723" s="44" t="s">
        <v>8</v>
      </c>
      <c r="I723" s="110"/>
    </row>
    <row r="724" spans="1:9" ht="16.350000000000001" customHeight="1">
      <c r="A724" s="45">
        <v>1</v>
      </c>
      <c r="B724" s="147"/>
      <c r="C724" s="121" t="s">
        <v>375</v>
      </c>
      <c r="D724" s="119"/>
      <c r="E724" s="9"/>
      <c r="F724" s="10">
        <f t="shared" ref="F724:F729" si="134">IF(E724="",0,IF(E724&gt;0,RANK(E724,$E$724:$E$729,1)))</f>
        <v>0</v>
      </c>
      <c r="G724" s="50">
        <f t="shared" ref="G724:G729" si="135">VLOOKUP(F724,$O$3:$P$33,2,0)</f>
        <v>0</v>
      </c>
      <c r="I724" s="110"/>
    </row>
    <row r="725" spans="1:9" ht="16.350000000000001" customHeight="1">
      <c r="A725" s="45">
        <v>2</v>
      </c>
      <c r="B725" s="147"/>
      <c r="C725" s="121" t="s">
        <v>373</v>
      </c>
      <c r="D725" s="119"/>
      <c r="E725" s="9"/>
      <c r="F725" s="10">
        <f t="shared" si="134"/>
        <v>0</v>
      </c>
      <c r="G725" s="50">
        <f t="shared" si="135"/>
        <v>0</v>
      </c>
      <c r="I725" s="110"/>
    </row>
    <row r="726" spans="1:9" ht="16.350000000000001" customHeight="1">
      <c r="A726" s="45">
        <v>3</v>
      </c>
      <c r="B726" s="147"/>
      <c r="C726" s="121" t="s">
        <v>352</v>
      </c>
      <c r="D726" s="119"/>
      <c r="E726" s="9"/>
      <c r="F726" s="10">
        <f t="shared" si="134"/>
        <v>0</v>
      </c>
      <c r="G726" s="50">
        <f t="shared" si="135"/>
        <v>0</v>
      </c>
      <c r="I726" s="110"/>
    </row>
    <row r="727" spans="1:9" ht="16.350000000000001" customHeight="1">
      <c r="A727" s="45">
        <v>4</v>
      </c>
      <c r="B727" s="147"/>
      <c r="C727" s="121" t="s">
        <v>374</v>
      </c>
      <c r="D727" s="119"/>
      <c r="E727" s="9"/>
      <c r="F727" s="10">
        <f t="shared" si="134"/>
        <v>0</v>
      </c>
      <c r="G727" s="50">
        <f t="shared" si="135"/>
        <v>0</v>
      </c>
      <c r="I727" s="110"/>
    </row>
    <row r="728" spans="1:9" ht="16.350000000000001" customHeight="1">
      <c r="A728" s="45">
        <v>5</v>
      </c>
      <c r="B728" s="147"/>
      <c r="C728" s="121" t="s">
        <v>376</v>
      </c>
      <c r="D728" s="119"/>
      <c r="E728" s="9"/>
      <c r="F728" s="10">
        <f t="shared" si="134"/>
        <v>0</v>
      </c>
      <c r="G728" s="50">
        <f t="shared" si="135"/>
        <v>0</v>
      </c>
      <c r="I728" s="110"/>
    </row>
    <row r="729" spans="1:9" ht="16.350000000000001" customHeight="1">
      <c r="A729" s="45">
        <v>6</v>
      </c>
      <c r="B729" s="85"/>
      <c r="C729" s="85"/>
      <c r="D729" s="9"/>
      <c r="E729" s="9"/>
      <c r="F729" s="10">
        <f t="shared" si="134"/>
        <v>0</v>
      </c>
      <c r="G729" s="50">
        <f t="shared" si="135"/>
        <v>0</v>
      </c>
      <c r="I729" s="110"/>
    </row>
    <row r="730" spans="1:9" s="13" customFormat="1" ht="16.350000000000001" customHeight="1">
      <c r="A730" s="47" t="s">
        <v>377</v>
      </c>
      <c r="B730" s="5"/>
      <c r="C730" s="5"/>
      <c r="D730" s="16"/>
      <c r="E730" s="16"/>
      <c r="F730" s="16"/>
      <c r="G730" s="52"/>
    </row>
    <row r="731" spans="1:9" ht="16.350000000000001" customHeight="1">
      <c r="A731" s="43" t="s">
        <v>0</v>
      </c>
      <c r="B731" s="7" t="s">
        <v>1</v>
      </c>
      <c r="C731" s="149" t="s">
        <v>4</v>
      </c>
      <c r="D731" s="7" t="s">
        <v>2</v>
      </c>
      <c r="E731" s="7" t="s">
        <v>6</v>
      </c>
      <c r="F731" s="128" t="s">
        <v>7</v>
      </c>
      <c r="G731" s="129" t="s">
        <v>8</v>
      </c>
      <c r="I731" s="110"/>
    </row>
    <row r="732" spans="1:9" ht="16.350000000000001" customHeight="1">
      <c r="A732" s="45">
        <v>1</v>
      </c>
      <c r="B732" s="2"/>
      <c r="C732" s="121" t="s">
        <v>379</v>
      </c>
      <c r="D732" s="119"/>
      <c r="E732" s="9"/>
      <c r="F732" s="130">
        <f t="shared" ref="F732:F737" si="136">IF(E732="",0,IF(E732&gt;0,RANK(E732,$E$732:$E$753,1)))</f>
        <v>0</v>
      </c>
      <c r="G732" s="131">
        <f t="shared" ref="G732:G737" si="137">VLOOKUP(F732,$O$3:$P$33,2,0)</f>
        <v>0</v>
      </c>
      <c r="I732" s="110"/>
    </row>
    <row r="733" spans="1:9" ht="16.350000000000001" customHeight="1">
      <c r="A733" s="45">
        <v>2</v>
      </c>
      <c r="B733" s="147"/>
      <c r="C733" s="121" t="s">
        <v>380</v>
      </c>
      <c r="D733" s="119"/>
      <c r="E733" s="9"/>
      <c r="F733" s="130">
        <f t="shared" si="136"/>
        <v>0</v>
      </c>
      <c r="G733" s="131">
        <f t="shared" si="137"/>
        <v>0</v>
      </c>
      <c r="I733" s="110"/>
    </row>
    <row r="734" spans="1:9" ht="16.350000000000001" customHeight="1">
      <c r="A734" s="45">
        <v>3</v>
      </c>
      <c r="B734" s="147"/>
      <c r="C734" s="121" t="s">
        <v>381</v>
      </c>
      <c r="D734" s="119"/>
      <c r="E734" s="9"/>
      <c r="F734" s="130">
        <f t="shared" si="136"/>
        <v>0</v>
      </c>
      <c r="G734" s="131">
        <f t="shared" si="137"/>
        <v>0</v>
      </c>
      <c r="I734" s="110"/>
    </row>
    <row r="735" spans="1:9" ht="16.350000000000001" customHeight="1">
      <c r="A735" s="45">
        <v>4</v>
      </c>
      <c r="B735" s="147"/>
      <c r="C735" s="121" t="s">
        <v>382</v>
      </c>
      <c r="D735" s="119"/>
      <c r="E735" s="9"/>
      <c r="F735" s="130">
        <f t="shared" si="136"/>
        <v>0</v>
      </c>
      <c r="G735" s="131">
        <f t="shared" si="137"/>
        <v>0</v>
      </c>
      <c r="I735" s="110"/>
    </row>
    <row r="736" spans="1:9" ht="16.350000000000001" customHeight="1">
      <c r="A736" s="45">
        <v>5</v>
      </c>
      <c r="B736" s="147"/>
      <c r="C736" s="121" t="s">
        <v>383</v>
      </c>
      <c r="D736" s="119"/>
      <c r="E736" s="9"/>
      <c r="F736" s="130">
        <f t="shared" si="136"/>
        <v>0</v>
      </c>
      <c r="G736" s="131">
        <f t="shared" si="137"/>
        <v>0</v>
      </c>
      <c r="I736" s="110"/>
    </row>
    <row r="737" spans="1:9" ht="16.350000000000001" customHeight="1">
      <c r="A737" s="45">
        <v>6</v>
      </c>
      <c r="B737" s="3"/>
      <c r="C737" s="152"/>
      <c r="D737" s="9"/>
      <c r="E737" s="9"/>
      <c r="F737" s="130">
        <f t="shared" si="136"/>
        <v>0</v>
      </c>
      <c r="G737" s="131">
        <f t="shared" si="137"/>
        <v>0</v>
      </c>
      <c r="I737" s="110"/>
    </row>
    <row r="738" spans="1:9" s="13" customFormat="1" ht="16.350000000000001" customHeight="1">
      <c r="A738" s="47" t="s">
        <v>378</v>
      </c>
      <c r="B738" s="5"/>
      <c r="C738" s="5"/>
      <c r="D738" s="16"/>
      <c r="E738" s="16"/>
      <c r="F738" s="138"/>
      <c r="G738" s="139"/>
      <c r="I738" s="112"/>
    </row>
    <row r="739" spans="1:9" ht="16.350000000000001" customHeight="1">
      <c r="A739" s="43" t="s">
        <v>0</v>
      </c>
      <c r="B739" s="7" t="s">
        <v>1</v>
      </c>
      <c r="C739" s="149" t="s">
        <v>4</v>
      </c>
      <c r="D739" s="7" t="s">
        <v>2</v>
      </c>
      <c r="E739" s="7" t="s">
        <v>6</v>
      </c>
      <c r="F739" s="128" t="s">
        <v>7</v>
      </c>
      <c r="G739" s="129" t="s">
        <v>8</v>
      </c>
      <c r="I739" s="110"/>
    </row>
    <row r="740" spans="1:9" ht="16.350000000000001" customHeight="1">
      <c r="A740" s="45">
        <v>1</v>
      </c>
      <c r="B740" s="78"/>
      <c r="C740" s="121" t="s">
        <v>384</v>
      </c>
      <c r="D740" s="119"/>
      <c r="E740" s="9"/>
      <c r="F740" s="130">
        <f t="shared" ref="F740:F745" si="138">IF(E740="",0,IF(E740&gt;0,RANK(E740,$E$732:$E$753,1)))</f>
        <v>0</v>
      </c>
      <c r="G740" s="131">
        <f t="shared" ref="G740:G745" si="139">VLOOKUP(F740,$O$3:$P$33,2,0)</f>
        <v>0</v>
      </c>
      <c r="I740" s="110"/>
    </row>
    <row r="741" spans="1:9" ht="16.350000000000001" customHeight="1">
      <c r="A741" s="45">
        <v>2</v>
      </c>
      <c r="B741" s="147"/>
      <c r="C741" s="121" t="s">
        <v>385</v>
      </c>
      <c r="D741" s="119"/>
      <c r="E741" s="9"/>
      <c r="F741" s="130">
        <f t="shared" si="138"/>
        <v>0</v>
      </c>
      <c r="G741" s="131">
        <f t="shared" si="139"/>
        <v>0</v>
      </c>
      <c r="I741" s="110"/>
    </row>
    <row r="742" spans="1:9" ht="16.350000000000001" customHeight="1">
      <c r="A742" s="45">
        <v>3</v>
      </c>
      <c r="B742" s="147"/>
      <c r="C742" s="121" t="s">
        <v>367</v>
      </c>
      <c r="D742" s="119"/>
      <c r="E742" s="9"/>
      <c r="F742" s="130">
        <f t="shared" si="138"/>
        <v>0</v>
      </c>
      <c r="G742" s="131">
        <f t="shared" si="139"/>
        <v>0</v>
      </c>
      <c r="I742" s="110"/>
    </row>
    <row r="743" spans="1:9" ht="16.350000000000001" customHeight="1">
      <c r="A743" s="45">
        <v>4</v>
      </c>
      <c r="B743" s="147"/>
      <c r="C743" s="121" t="s">
        <v>368</v>
      </c>
      <c r="D743" s="119"/>
      <c r="E743" s="9"/>
      <c r="F743" s="130">
        <f t="shared" si="138"/>
        <v>0</v>
      </c>
      <c r="G743" s="131">
        <f t="shared" si="139"/>
        <v>0</v>
      </c>
      <c r="I743" s="110"/>
    </row>
    <row r="744" spans="1:9" ht="16.350000000000001" customHeight="1">
      <c r="A744" s="45">
        <v>5</v>
      </c>
      <c r="B744" s="147"/>
      <c r="C744" s="121" t="s">
        <v>386</v>
      </c>
      <c r="D744" s="119"/>
      <c r="E744" s="9"/>
      <c r="F744" s="130">
        <f t="shared" si="138"/>
        <v>0</v>
      </c>
      <c r="G744" s="131">
        <f t="shared" si="139"/>
        <v>0</v>
      </c>
      <c r="I744" s="110"/>
    </row>
    <row r="745" spans="1:9" ht="16.350000000000001" customHeight="1">
      <c r="A745" s="45">
        <v>6</v>
      </c>
      <c r="B745" s="90"/>
      <c r="C745" s="151"/>
      <c r="D745" s="9"/>
      <c r="E745" s="9"/>
      <c r="F745" s="130">
        <f t="shared" si="138"/>
        <v>0</v>
      </c>
      <c r="G745" s="131">
        <f t="shared" si="139"/>
        <v>0</v>
      </c>
      <c r="I745" s="110"/>
    </row>
    <row r="746" spans="1:9" ht="16.350000000000001" customHeight="1">
      <c r="A746" s="47" t="s">
        <v>387</v>
      </c>
      <c r="B746" s="5"/>
      <c r="C746" s="6"/>
      <c r="F746" s="133"/>
      <c r="G746" s="132"/>
    </row>
    <row r="747" spans="1:9" ht="16.350000000000001" customHeight="1">
      <c r="A747" s="43" t="s">
        <v>0</v>
      </c>
      <c r="B747" s="7" t="s">
        <v>1</v>
      </c>
      <c r="C747" s="8" t="s">
        <v>4</v>
      </c>
      <c r="D747" s="7" t="s">
        <v>2</v>
      </c>
      <c r="E747" s="7" t="s">
        <v>6</v>
      </c>
      <c r="F747" s="128" t="s">
        <v>7</v>
      </c>
      <c r="G747" s="129" t="s">
        <v>8</v>
      </c>
    </row>
    <row r="748" spans="1:9" ht="16.350000000000001" customHeight="1">
      <c r="A748" s="45">
        <v>1</v>
      </c>
      <c r="B748" s="74"/>
      <c r="C748" s="153"/>
      <c r="D748" s="15"/>
      <c r="E748" s="9"/>
      <c r="F748" s="130">
        <f>IF(E748="",0,IF(E748&gt;0,RANK(E748,E732:E753,1)))</f>
        <v>0</v>
      </c>
      <c r="G748" s="131">
        <f t="shared" ref="G748:G753" si="140">VLOOKUP(F748,$O$3:$P$33,2,0)</f>
        <v>0</v>
      </c>
    </row>
    <row r="749" spans="1:9" ht="16.350000000000001" customHeight="1">
      <c r="A749" s="45">
        <v>2</v>
      </c>
      <c r="B749" s="147"/>
      <c r="C749" s="121" t="s">
        <v>388</v>
      </c>
      <c r="D749" s="36"/>
      <c r="E749" s="9"/>
      <c r="F749" s="130">
        <f>IF(E749="",0,IF(E749&gt;0,RANK(E749,E732:E753,1)))</f>
        <v>0</v>
      </c>
      <c r="G749" s="131">
        <f t="shared" si="140"/>
        <v>0</v>
      </c>
    </row>
    <row r="750" spans="1:9" ht="16.350000000000001" customHeight="1">
      <c r="A750" s="45">
        <v>3</v>
      </c>
      <c r="B750" s="147"/>
      <c r="C750" s="121" t="s">
        <v>389</v>
      </c>
      <c r="D750" s="36"/>
      <c r="E750" s="9"/>
      <c r="F750" s="130">
        <f>IF(E750="",0,IF(E750&gt;0,RANK(E750,E732:E753,1)))</f>
        <v>0</v>
      </c>
      <c r="G750" s="131">
        <f t="shared" si="140"/>
        <v>0</v>
      </c>
    </row>
    <row r="751" spans="1:9" ht="16.350000000000001" customHeight="1">
      <c r="A751" s="45">
        <v>4</v>
      </c>
      <c r="B751" s="147"/>
      <c r="C751" s="121" t="s">
        <v>390</v>
      </c>
      <c r="D751" s="36"/>
      <c r="E751" s="9"/>
      <c r="F751" s="130">
        <f>IF(E751="",0,IF(E751&gt;0,RANK(E751,E732:E753,1)))</f>
        <v>0</v>
      </c>
      <c r="G751" s="131">
        <f t="shared" si="140"/>
        <v>0</v>
      </c>
    </row>
    <row r="752" spans="1:9" ht="16.350000000000001" customHeight="1">
      <c r="A752" s="45">
        <v>5</v>
      </c>
      <c r="B752" s="85"/>
      <c r="C752" s="85"/>
      <c r="D752" s="33"/>
      <c r="E752" s="9"/>
      <c r="F752" s="130">
        <f>IF(E752="",0,IF(E752&gt;0,RANK(E752,E732:E753,1)))</f>
        <v>0</v>
      </c>
      <c r="G752" s="131">
        <f t="shared" si="140"/>
        <v>0</v>
      </c>
    </row>
    <row r="753" spans="1:7" ht="16.350000000000001" customHeight="1">
      <c r="A753" s="45">
        <v>6</v>
      </c>
      <c r="B753" s="90"/>
      <c r="C753" s="23"/>
      <c r="D753" s="9"/>
      <c r="E753" s="9"/>
      <c r="F753" s="130">
        <f>IF(E753="",0,IF(E753&gt;0,RANK(E753,E732:E753,1)))</f>
        <v>0</v>
      </c>
      <c r="G753" s="131">
        <f t="shared" si="140"/>
        <v>0</v>
      </c>
    </row>
    <row r="754" spans="1:7" ht="16.350000000000001" customHeight="1">
      <c r="A754" s="47" t="s">
        <v>951</v>
      </c>
      <c r="B754" s="5"/>
      <c r="C754" s="6"/>
      <c r="F754" s="38"/>
      <c r="G754" s="49"/>
    </row>
    <row r="755" spans="1:7" ht="16.350000000000001" customHeight="1">
      <c r="A755" s="43" t="s">
        <v>0</v>
      </c>
      <c r="B755" s="7" t="s">
        <v>1</v>
      </c>
      <c r="C755" s="149" t="s">
        <v>4</v>
      </c>
      <c r="D755" s="7" t="s">
        <v>2</v>
      </c>
      <c r="E755" s="7" t="s">
        <v>6</v>
      </c>
      <c r="F755" s="97" t="s">
        <v>7</v>
      </c>
      <c r="G755" s="159" t="s">
        <v>8</v>
      </c>
    </row>
    <row r="756" spans="1:7" ht="16.350000000000001" customHeight="1">
      <c r="A756" s="45">
        <v>1</v>
      </c>
      <c r="B756" s="146"/>
      <c r="C756" s="121" t="s">
        <v>919</v>
      </c>
      <c r="D756" s="36"/>
      <c r="E756" s="9"/>
      <c r="F756" s="118">
        <f>IF(E756="",0,IF(E756&gt;0,RANK(E756,E756:E761,1)))</f>
        <v>0</v>
      </c>
      <c r="G756" s="50">
        <f t="shared" ref="G756:G761" si="141">VLOOKUP(F756,$O$3:$P$33,2,0)</f>
        <v>0</v>
      </c>
    </row>
    <row r="757" spans="1:7" ht="16.350000000000001" customHeight="1">
      <c r="A757" s="45">
        <v>2</v>
      </c>
      <c r="B757" s="147"/>
      <c r="C757" s="121" t="s">
        <v>952</v>
      </c>
      <c r="D757" s="36"/>
      <c r="E757" s="9"/>
      <c r="F757" s="118">
        <f>IF(E757="",0,IF(E757&gt;0,RANK(E757,E756:E761,1)))</f>
        <v>0</v>
      </c>
      <c r="G757" s="50">
        <f t="shared" si="141"/>
        <v>0</v>
      </c>
    </row>
    <row r="758" spans="1:7" ht="16.350000000000001" customHeight="1">
      <c r="A758" s="45">
        <v>3</v>
      </c>
      <c r="B758" s="147"/>
      <c r="C758" s="121" t="s">
        <v>63</v>
      </c>
      <c r="D758" s="36"/>
      <c r="E758" s="9"/>
      <c r="F758" s="118">
        <f>IF(E758="",0,IF(E758&gt;0,RANK(E758,E756:E761,1)))</f>
        <v>0</v>
      </c>
      <c r="G758" s="50">
        <f t="shared" si="141"/>
        <v>0</v>
      </c>
    </row>
    <row r="759" spans="1:7" ht="16.350000000000001" customHeight="1">
      <c r="A759" s="45">
        <v>4</v>
      </c>
      <c r="B759" s="147"/>
      <c r="C759" s="121" t="s">
        <v>456</v>
      </c>
      <c r="D759" s="36"/>
      <c r="E759" s="9"/>
      <c r="F759" s="118">
        <f>IF(E759="",0,IF(E759&gt;0,RANK(E759,E756:E761,1)))</f>
        <v>0</v>
      </c>
      <c r="G759" s="50">
        <f t="shared" si="141"/>
        <v>0</v>
      </c>
    </row>
    <row r="760" spans="1:7" ht="16.350000000000001" customHeight="1">
      <c r="A760" s="45">
        <v>5</v>
      </c>
      <c r="B760" s="147"/>
      <c r="C760" s="121" t="s">
        <v>467</v>
      </c>
      <c r="D760" s="37"/>
      <c r="E760" s="9"/>
      <c r="F760" s="118">
        <f>IF(E760="",0,IF(E760&gt;0,RANK(E760,E756:E761,1)))</f>
        <v>0</v>
      </c>
      <c r="G760" s="50">
        <f t="shared" si="141"/>
        <v>0</v>
      </c>
    </row>
    <row r="761" spans="1:7" ht="16.350000000000001" customHeight="1">
      <c r="A761" s="45">
        <v>6</v>
      </c>
      <c r="B761" s="90"/>
      <c r="C761" s="164"/>
      <c r="D761" s="9"/>
      <c r="E761" s="9"/>
      <c r="F761" s="118">
        <f>IF(E761="",0,IF(E761&gt;0,RANK(E761,E756:E761,1)))</f>
        <v>0</v>
      </c>
      <c r="G761" s="50">
        <f t="shared" si="141"/>
        <v>0</v>
      </c>
    </row>
    <row r="762" spans="1:7" ht="16.350000000000001" customHeight="1">
      <c r="A762" s="47" t="s">
        <v>392</v>
      </c>
      <c r="B762" s="5"/>
      <c r="C762" s="6"/>
      <c r="G762" s="48"/>
    </row>
    <row r="763" spans="1:7" ht="16.350000000000001" customHeight="1">
      <c r="A763" s="43" t="s">
        <v>0</v>
      </c>
      <c r="B763" s="7" t="s">
        <v>1</v>
      </c>
      <c r="C763" s="8" t="s">
        <v>4</v>
      </c>
      <c r="D763" s="7" t="s">
        <v>2</v>
      </c>
      <c r="E763" s="7" t="s">
        <v>6</v>
      </c>
      <c r="F763" s="128" t="s">
        <v>7</v>
      </c>
      <c r="G763" s="129" t="s">
        <v>8</v>
      </c>
    </row>
    <row r="764" spans="1:7" ht="16.350000000000001" customHeight="1">
      <c r="A764" s="45">
        <v>1</v>
      </c>
      <c r="B764" s="120" t="s">
        <v>394</v>
      </c>
      <c r="C764" s="120" t="s">
        <v>269</v>
      </c>
      <c r="D764" s="9"/>
      <c r="E764" s="9"/>
      <c r="F764" s="130">
        <f>IF(E764="",0,IF(E764&gt;0,RANK(E764,E764:E777,1)))</f>
        <v>0</v>
      </c>
      <c r="G764" s="131">
        <f>VLOOKUP(F764,$L$3:$M$33,2,0)</f>
        <v>0</v>
      </c>
    </row>
    <row r="765" spans="1:7" ht="16.350000000000001" customHeight="1">
      <c r="A765" s="45">
        <v>2</v>
      </c>
      <c r="B765" s="127" t="s">
        <v>395</v>
      </c>
      <c r="C765" s="120" t="s">
        <v>84</v>
      </c>
      <c r="D765" s="9"/>
      <c r="E765" s="9"/>
      <c r="F765" s="130">
        <f>IF(E765="",0,IF(E765&gt;0,RANK(E765,E764:E777,1)))</f>
        <v>0</v>
      </c>
      <c r="G765" s="131">
        <f t="shared" ref="G765:G769" si="142">VLOOKUP(F765,$L$3:$M$33,2,0)</f>
        <v>0</v>
      </c>
    </row>
    <row r="766" spans="1:7" ht="16.350000000000001" customHeight="1">
      <c r="A766" s="45">
        <v>3</v>
      </c>
      <c r="B766" s="120" t="s">
        <v>396</v>
      </c>
      <c r="C766" s="120" t="s">
        <v>84</v>
      </c>
      <c r="D766" s="9"/>
      <c r="E766" s="9"/>
      <c r="F766" s="130">
        <f>IF(E766="",0,IF(E766&gt;0,RANK(E766,E764:E777,1)))</f>
        <v>0</v>
      </c>
      <c r="G766" s="131">
        <f t="shared" si="142"/>
        <v>0</v>
      </c>
    </row>
    <row r="767" spans="1:7" ht="16.350000000000001" customHeight="1">
      <c r="A767" s="45">
        <v>4</v>
      </c>
      <c r="B767" s="120" t="s">
        <v>397</v>
      </c>
      <c r="C767" s="120" t="s">
        <v>88</v>
      </c>
      <c r="D767" s="9"/>
      <c r="E767" s="9"/>
      <c r="F767" s="130">
        <f>IF(E767="",0,IF(E767&gt;0,RANK(E767,E764:E777,1)))</f>
        <v>0</v>
      </c>
      <c r="G767" s="131">
        <f t="shared" si="142"/>
        <v>0</v>
      </c>
    </row>
    <row r="768" spans="1:7" ht="16.350000000000001" customHeight="1">
      <c r="A768" s="45">
        <v>5</v>
      </c>
      <c r="B768" s="126" t="s">
        <v>112</v>
      </c>
      <c r="C768" s="126" t="s">
        <v>398</v>
      </c>
      <c r="D768" s="9"/>
      <c r="E768" s="9"/>
      <c r="F768" s="130">
        <f>IF(E768="",0,IF(E768&gt;0,RANK(E768,E764:E777,1)))</f>
        <v>0</v>
      </c>
      <c r="G768" s="131">
        <f t="shared" si="142"/>
        <v>0</v>
      </c>
    </row>
    <row r="769" spans="1:9" ht="16.350000000000001" customHeight="1">
      <c r="A769" s="45">
        <v>6</v>
      </c>
      <c r="B769" s="120" t="s">
        <v>114</v>
      </c>
      <c r="C769" s="120" t="s">
        <v>13</v>
      </c>
      <c r="D769" s="9"/>
      <c r="E769" s="9"/>
      <c r="F769" s="130">
        <f>IF(E769="",0,IF(E769&gt;0,RANK(E769,E764:E777,1)))</f>
        <v>0</v>
      </c>
      <c r="G769" s="131">
        <f t="shared" si="142"/>
        <v>0</v>
      </c>
    </row>
    <row r="770" spans="1:9" ht="16.350000000000001" customHeight="1">
      <c r="A770" s="47" t="s">
        <v>393</v>
      </c>
      <c r="B770" s="5"/>
      <c r="C770" s="6"/>
      <c r="D770" s="14"/>
      <c r="E770" s="14"/>
      <c r="F770" s="144"/>
      <c r="G770" s="145"/>
    </row>
    <row r="771" spans="1:9" ht="16.350000000000001" customHeight="1">
      <c r="A771" s="43" t="s">
        <v>0</v>
      </c>
      <c r="B771" s="7" t="s">
        <v>1</v>
      </c>
      <c r="C771" s="8" t="s">
        <v>4</v>
      </c>
      <c r="D771" s="7" t="s">
        <v>2</v>
      </c>
      <c r="E771" s="7" t="s">
        <v>6</v>
      </c>
      <c r="F771" s="128" t="s">
        <v>7</v>
      </c>
      <c r="G771" s="129" t="s">
        <v>8</v>
      </c>
      <c r="I771" s="110"/>
    </row>
    <row r="772" spans="1:9" ht="16.350000000000001" customHeight="1">
      <c r="A772" s="45">
        <v>1</v>
      </c>
      <c r="B772" s="120" t="s">
        <v>44</v>
      </c>
      <c r="C772" s="120" t="s">
        <v>53</v>
      </c>
      <c r="D772" s="9"/>
      <c r="E772" s="9"/>
      <c r="F772" s="130">
        <f>IF(E772="",0,IF(E772&gt;0,RANK(E772,$E$764:$E$777,1)))</f>
        <v>0</v>
      </c>
      <c r="G772" s="131">
        <f>VLOOKUP(F772,$L$3:$M$33,2,0)</f>
        <v>0</v>
      </c>
      <c r="I772" s="110"/>
    </row>
    <row r="773" spans="1:9" ht="16.350000000000001" customHeight="1">
      <c r="A773" s="45">
        <v>2</v>
      </c>
      <c r="B773" s="120" t="s">
        <v>115</v>
      </c>
      <c r="C773" s="120" t="s">
        <v>13</v>
      </c>
      <c r="D773" s="9"/>
      <c r="E773" s="9"/>
      <c r="F773" s="130">
        <f t="shared" ref="F773:F777" si="143">IF(E773="",0,IF(E773&gt;0,RANK(E773,$E$764:$E$777,1)))</f>
        <v>0</v>
      </c>
      <c r="G773" s="131">
        <f t="shared" ref="G773:G777" si="144">VLOOKUP(F773,$L$3:$M$33,2,0)</f>
        <v>0</v>
      </c>
      <c r="I773" s="110"/>
    </row>
    <row r="774" spans="1:9" ht="16.350000000000001" customHeight="1">
      <c r="A774" s="45">
        <v>3</v>
      </c>
      <c r="B774" s="120" t="s">
        <v>24</v>
      </c>
      <c r="C774" s="120" t="s">
        <v>13</v>
      </c>
      <c r="D774" s="9"/>
      <c r="E774" s="9"/>
      <c r="F774" s="130">
        <f t="shared" si="143"/>
        <v>0</v>
      </c>
      <c r="G774" s="131">
        <f t="shared" si="144"/>
        <v>0</v>
      </c>
      <c r="I774" s="110"/>
    </row>
    <row r="775" spans="1:9" ht="16.350000000000001" customHeight="1">
      <c r="A775" s="45">
        <v>4</v>
      </c>
      <c r="B775" s="120" t="s">
        <v>400</v>
      </c>
      <c r="C775" s="120" t="s">
        <v>401</v>
      </c>
      <c r="D775" s="9"/>
      <c r="E775" s="9"/>
      <c r="F775" s="130">
        <f t="shared" si="143"/>
        <v>0</v>
      </c>
      <c r="G775" s="131">
        <f t="shared" si="144"/>
        <v>0</v>
      </c>
      <c r="I775" s="110"/>
    </row>
    <row r="776" spans="1:9" ht="16.350000000000001" customHeight="1">
      <c r="A776" s="45">
        <v>5</v>
      </c>
      <c r="B776" s="120" t="s">
        <v>399</v>
      </c>
      <c r="C776" s="120" t="s">
        <v>269</v>
      </c>
      <c r="D776" s="9"/>
      <c r="E776" s="9"/>
      <c r="F776" s="130">
        <f t="shared" si="143"/>
        <v>0</v>
      </c>
      <c r="G776" s="131">
        <f t="shared" si="144"/>
        <v>0</v>
      </c>
      <c r="I776" s="110"/>
    </row>
    <row r="777" spans="1:9" ht="16.350000000000001" customHeight="1">
      <c r="A777" s="45">
        <v>6</v>
      </c>
      <c r="B777" s="120"/>
      <c r="C777" s="120"/>
      <c r="D777" s="9"/>
      <c r="E777" s="9"/>
      <c r="F777" s="130">
        <f t="shared" si="143"/>
        <v>0</v>
      </c>
      <c r="G777" s="131">
        <f t="shared" si="144"/>
        <v>0</v>
      </c>
      <c r="I777" s="110"/>
    </row>
    <row r="778" spans="1:9" s="13" customFormat="1" ht="16.350000000000001" customHeight="1">
      <c r="A778" s="47" t="s">
        <v>402</v>
      </c>
      <c r="B778" s="19"/>
      <c r="C778" s="5"/>
      <c r="D778" s="28"/>
      <c r="E778" s="28"/>
      <c r="F778" s="28"/>
      <c r="G778" s="56"/>
      <c r="I778" s="112"/>
    </row>
    <row r="779" spans="1:9" ht="16.350000000000001" customHeight="1">
      <c r="A779" s="43" t="s">
        <v>0</v>
      </c>
      <c r="B779" s="7" t="s">
        <v>1</v>
      </c>
      <c r="C779" s="8" t="s">
        <v>4</v>
      </c>
      <c r="D779" s="7" t="s">
        <v>2</v>
      </c>
      <c r="E779" s="7" t="s">
        <v>6</v>
      </c>
      <c r="F779" s="128" t="s">
        <v>7</v>
      </c>
      <c r="G779" s="129" t="s">
        <v>8</v>
      </c>
      <c r="I779" s="110"/>
    </row>
    <row r="780" spans="1:9" ht="16.350000000000001" customHeight="1">
      <c r="A780" s="45">
        <v>1</v>
      </c>
      <c r="B780" s="120" t="s">
        <v>403</v>
      </c>
      <c r="C780" s="120" t="s">
        <v>64</v>
      </c>
      <c r="D780" s="1"/>
      <c r="E780" s="9"/>
      <c r="F780" s="130">
        <f>IF(E780="",0,IF(E780&gt;0,RANK(E780,$E$780:$E$793,1)))</f>
        <v>0</v>
      </c>
      <c r="G780" s="131">
        <f>VLOOKUP(F780,$L$3:$M$33,2,0)</f>
        <v>0</v>
      </c>
      <c r="I780" s="110"/>
    </row>
    <row r="781" spans="1:9" ht="16.350000000000001" customHeight="1">
      <c r="A781" s="45">
        <v>2</v>
      </c>
      <c r="B781" s="120" t="s">
        <v>404</v>
      </c>
      <c r="C781" s="120" t="s">
        <v>405</v>
      </c>
      <c r="D781" s="9"/>
      <c r="E781" s="9"/>
      <c r="F781" s="130">
        <f t="shared" ref="F781:F785" si="145">IF(E781="",0,IF(E781&gt;0,RANK(E781,$E$780:$E$793,1)))</f>
        <v>0</v>
      </c>
      <c r="G781" s="131">
        <f t="shared" ref="G781:G785" si="146">VLOOKUP(F781,$L$3:$M$33,2,0)</f>
        <v>0</v>
      </c>
      <c r="I781" s="110"/>
    </row>
    <row r="782" spans="1:9" ht="16.350000000000001" customHeight="1">
      <c r="A782" s="45">
        <v>3</v>
      </c>
      <c r="B782" s="120" t="s">
        <v>406</v>
      </c>
      <c r="C782" s="120" t="s">
        <v>407</v>
      </c>
      <c r="D782" s="9"/>
      <c r="E782" s="9"/>
      <c r="F782" s="130">
        <f t="shared" si="145"/>
        <v>0</v>
      </c>
      <c r="G782" s="131">
        <f t="shared" si="146"/>
        <v>0</v>
      </c>
      <c r="I782" s="110"/>
    </row>
    <row r="783" spans="1:9" ht="16.350000000000001" customHeight="1">
      <c r="A783" s="45">
        <v>4</v>
      </c>
      <c r="B783" s="126" t="s">
        <v>408</v>
      </c>
      <c r="C783" s="120" t="s">
        <v>409</v>
      </c>
      <c r="D783" s="9"/>
      <c r="E783" s="9"/>
      <c r="F783" s="130">
        <f t="shared" si="145"/>
        <v>0</v>
      </c>
      <c r="G783" s="131">
        <f t="shared" si="146"/>
        <v>0</v>
      </c>
      <c r="I783" s="110"/>
    </row>
    <row r="784" spans="1:9" ht="16.350000000000001" customHeight="1">
      <c r="A784" s="45">
        <v>5</v>
      </c>
      <c r="B784" s="120" t="s">
        <v>410</v>
      </c>
      <c r="C784" s="120" t="s">
        <v>88</v>
      </c>
      <c r="D784" s="9"/>
      <c r="E784" s="9"/>
      <c r="F784" s="130">
        <f t="shared" si="145"/>
        <v>0</v>
      </c>
      <c r="G784" s="131">
        <f t="shared" si="146"/>
        <v>0</v>
      </c>
      <c r="I784" s="110"/>
    </row>
    <row r="785" spans="1:9" ht="16.350000000000001" customHeight="1">
      <c r="A785" s="45">
        <v>6</v>
      </c>
      <c r="B785" s="90"/>
      <c r="C785" s="23"/>
      <c r="D785" s="9"/>
      <c r="E785" s="9"/>
      <c r="F785" s="130">
        <f t="shared" si="145"/>
        <v>0</v>
      </c>
      <c r="G785" s="131">
        <f t="shared" si="146"/>
        <v>0</v>
      </c>
      <c r="I785" s="110"/>
    </row>
    <row r="786" spans="1:9" s="13" customFormat="1" ht="16.350000000000001" customHeight="1">
      <c r="A786" s="47" t="s">
        <v>411</v>
      </c>
      <c r="B786" s="19"/>
      <c r="C786" s="5"/>
      <c r="D786" s="28"/>
      <c r="E786" s="28"/>
      <c r="F786" s="154"/>
      <c r="G786" s="155"/>
    </row>
    <row r="787" spans="1:9" ht="16.350000000000001" customHeight="1">
      <c r="A787" s="43" t="s">
        <v>0</v>
      </c>
      <c r="B787" s="7" t="s">
        <v>1</v>
      </c>
      <c r="C787" s="8" t="s">
        <v>4</v>
      </c>
      <c r="D787" s="7" t="s">
        <v>2</v>
      </c>
      <c r="E787" s="7" t="s">
        <v>6</v>
      </c>
      <c r="F787" s="128" t="s">
        <v>7</v>
      </c>
      <c r="G787" s="129" t="s">
        <v>8</v>
      </c>
      <c r="I787" s="110"/>
    </row>
    <row r="788" spans="1:9" ht="16.350000000000001" customHeight="1">
      <c r="A788" s="45">
        <v>1</v>
      </c>
      <c r="B788" s="85"/>
      <c r="C788" s="85"/>
      <c r="D788" s="9"/>
      <c r="E788" s="9"/>
      <c r="F788" s="130">
        <f>IF(E788="",0,IF(E788&gt;0,RANK(E788,$E$780:$E$793,1)))</f>
        <v>0</v>
      </c>
      <c r="G788" s="131">
        <f>VLOOKUP(F788,$L$3:$M$33,2,0)</f>
        <v>0</v>
      </c>
      <c r="I788" s="110"/>
    </row>
    <row r="789" spans="1:9" ht="16.350000000000001" customHeight="1">
      <c r="A789" s="45">
        <v>2</v>
      </c>
      <c r="B789" s="126" t="s">
        <v>412</v>
      </c>
      <c r="C789" s="126" t="s">
        <v>413</v>
      </c>
      <c r="D789" s="9"/>
      <c r="E789" s="9"/>
      <c r="F789" s="130">
        <f t="shared" ref="F789:F793" si="147">IF(E789="",0,IF(E789&gt;0,RANK(E789,$E$780:$E$793,1)))</f>
        <v>0</v>
      </c>
      <c r="G789" s="131">
        <f t="shared" ref="G789:G793" si="148">VLOOKUP(F789,$L$3:$M$33,2,0)</f>
        <v>0</v>
      </c>
      <c r="I789" s="110"/>
    </row>
    <row r="790" spans="1:9" ht="16.350000000000001" customHeight="1">
      <c r="A790" s="45">
        <v>3</v>
      </c>
      <c r="B790" s="126" t="s">
        <v>414</v>
      </c>
      <c r="C790" s="126" t="s">
        <v>413</v>
      </c>
      <c r="D790" s="9"/>
      <c r="E790" s="9"/>
      <c r="F790" s="130">
        <f t="shared" si="147"/>
        <v>0</v>
      </c>
      <c r="G790" s="131">
        <f t="shared" si="148"/>
        <v>0</v>
      </c>
      <c r="I790" s="110"/>
    </row>
    <row r="791" spans="1:9" ht="16.350000000000001" customHeight="1">
      <c r="A791" s="45">
        <v>4</v>
      </c>
      <c r="B791" s="120" t="s">
        <v>415</v>
      </c>
      <c r="C791" s="120" t="s">
        <v>15</v>
      </c>
      <c r="D791" s="9"/>
      <c r="E791" s="9"/>
      <c r="F791" s="130">
        <f t="shared" si="147"/>
        <v>0</v>
      </c>
      <c r="G791" s="131">
        <f t="shared" si="148"/>
        <v>0</v>
      </c>
      <c r="I791" s="110"/>
    </row>
    <row r="792" spans="1:9" ht="16.350000000000001" customHeight="1">
      <c r="A792" s="45">
        <v>5</v>
      </c>
      <c r="B792" s="120" t="s">
        <v>416</v>
      </c>
      <c r="C792" s="120" t="s">
        <v>84</v>
      </c>
      <c r="D792" s="9"/>
      <c r="E792" s="9"/>
      <c r="F792" s="130">
        <f t="shared" si="147"/>
        <v>0</v>
      </c>
      <c r="G792" s="131">
        <f t="shared" si="148"/>
        <v>0</v>
      </c>
      <c r="I792" s="110"/>
    </row>
    <row r="793" spans="1:9" ht="16.350000000000001" customHeight="1">
      <c r="A793" s="45">
        <v>6</v>
      </c>
      <c r="B793" s="85"/>
      <c r="C793" s="85"/>
      <c r="D793" s="9"/>
      <c r="E793" s="9"/>
      <c r="F793" s="130">
        <f t="shared" si="147"/>
        <v>0</v>
      </c>
      <c r="G793" s="131">
        <f t="shared" si="148"/>
        <v>0</v>
      </c>
      <c r="I793" s="110"/>
    </row>
    <row r="794" spans="1:9" s="13" customFormat="1" ht="16.350000000000001" customHeight="1">
      <c r="A794" s="47" t="s">
        <v>417</v>
      </c>
      <c r="B794" s="19"/>
      <c r="C794" s="5"/>
      <c r="D794" s="28"/>
      <c r="E794" s="28"/>
      <c r="F794" s="28"/>
      <c r="G794" s="56"/>
      <c r="I794" s="112"/>
    </row>
    <row r="795" spans="1:9" ht="16.350000000000001" customHeight="1">
      <c r="A795" s="43" t="s">
        <v>0</v>
      </c>
      <c r="B795" s="7" t="s">
        <v>1</v>
      </c>
      <c r="C795" s="8" t="s">
        <v>4</v>
      </c>
      <c r="D795" s="7" t="s">
        <v>2</v>
      </c>
      <c r="E795" s="7" t="s">
        <v>6</v>
      </c>
      <c r="F795" s="128" t="s">
        <v>7</v>
      </c>
      <c r="G795" s="129" t="s">
        <v>8</v>
      </c>
      <c r="I795" s="110"/>
    </row>
    <row r="796" spans="1:9" ht="16.350000000000001" customHeight="1">
      <c r="A796" s="45">
        <v>1</v>
      </c>
      <c r="B796" s="85"/>
      <c r="C796" s="85"/>
      <c r="D796" s="9"/>
      <c r="E796" s="9"/>
      <c r="F796" s="130">
        <f>IF(E796="",0,IF(E796&gt;0,RANK(E796,$E$796:$E$809,1)))</f>
        <v>0</v>
      </c>
      <c r="G796" s="131">
        <f>VLOOKUP(F796,$L$3:$M$33,2,0)</f>
        <v>0</v>
      </c>
      <c r="I796" s="110"/>
    </row>
    <row r="797" spans="1:9" ht="16.350000000000001" customHeight="1">
      <c r="A797" s="45">
        <v>2</v>
      </c>
      <c r="B797" s="120" t="s">
        <v>419</v>
      </c>
      <c r="C797" s="120" t="s">
        <v>420</v>
      </c>
      <c r="D797" s="9"/>
      <c r="E797" s="9"/>
      <c r="F797" s="130">
        <f t="shared" ref="F797:F801" si="149">IF(E797="",0,IF(E797&gt;0,RANK(E797,$E$796:$E$809,1)))</f>
        <v>0</v>
      </c>
      <c r="G797" s="131">
        <f t="shared" ref="G797:G801" si="150">VLOOKUP(F797,$L$3:$M$33,2,0)</f>
        <v>0</v>
      </c>
      <c r="I797" s="110"/>
    </row>
    <row r="798" spans="1:9" ht="16.350000000000001" customHeight="1">
      <c r="A798" s="45">
        <v>3</v>
      </c>
      <c r="B798" s="120" t="s">
        <v>426</v>
      </c>
      <c r="C798" s="120" t="s">
        <v>427</v>
      </c>
      <c r="D798" s="9"/>
      <c r="E798" s="9"/>
      <c r="F798" s="130">
        <f t="shared" si="149"/>
        <v>0</v>
      </c>
      <c r="G798" s="131">
        <f t="shared" si="150"/>
        <v>0</v>
      </c>
      <c r="I798" s="110"/>
    </row>
    <row r="799" spans="1:9" ht="16.350000000000001" customHeight="1">
      <c r="A799" s="45">
        <v>4</v>
      </c>
      <c r="B799" s="120" t="s">
        <v>428</v>
      </c>
      <c r="C799" s="120" t="s">
        <v>13</v>
      </c>
      <c r="D799" s="9"/>
      <c r="E799" s="9"/>
      <c r="F799" s="130">
        <f t="shared" si="149"/>
        <v>0</v>
      </c>
      <c r="G799" s="131">
        <f t="shared" si="150"/>
        <v>0</v>
      </c>
      <c r="I799" s="110"/>
    </row>
    <row r="800" spans="1:9" ht="16.350000000000001" customHeight="1">
      <c r="A800" s="45">
        <v>5</v>
      </c>
      <c r="B800" s="127" t="s">
        <v>425</v>
      </c>
      <c r="C800" s="120" t="s">
        <v>73</v>
      </c>
      <c r="D800" s="9"/>
      <c r="E800" s="9"/>
      <c r="F800" s="130">
        <f t="shared" si="149"/>
        <v>0</v>
      </c>
      <c r="G800" s="131">
        <f t="shared" si="150"/>
        <v>0</v>
      </c>
      <c r="I800" s="110"/>
    </row>
    <row r="801" spans="1:11" ht="16.350000000000001" customHeight="1">
      <c r="A801" s="45">
        <v>6</v>
      </c>
      <c r="B801" s="85"/>
      <c r="C801" s="85"/>
      <c r="D801" s="9"/>
      <c r="E801" s="9"/>
      <c r="F801" s="130">
        <f t="shared" si="149"/>
        <v>0</v>
      </c>
      <c r="G801" s="131">
        <f t="shared" si="150"/>
        <v>0</v>
      </c>
      <c r="I801" s="110"/>
    </row>
    <row r="802" spans="1:11" ht="16.350000000000001" customHeight="1">
      <c r="A802" s="47" t="s">
        <v>418</v>
      </c>
      <c r="B802" s="5"/>
      <c r="C802" s="19"/>
      <c r="D802" s="14"/>
      <c r="E802" s="14"/>
      <c r="F802" s="144"/>
      <c r="G802" s="145"/>
    </row>
    <row r="803" spans="1:11" ht="16.350000000000001" customHeight="1">
      <c r="A803" s="43" t="s">
        <v>0</v>
      </c>
      <c r="B803" s="7" t="s">
        <v>1</v>
      </c>
      <c r="C803" s="8" t="s">
        <v>4</v>
      </c>
      <c r="D803" s="7" t="s">
        <v>2</v>
      </c>
      <c r="E803" s="7" t="s">
        <v>6</v>
      </c>
      <c r="F803" s="128" t="s">
        <v>7</v>
      </c>
      <c r="G803" s="129" t="s">
        <v>8</v>
      </c>
      <c r="I803" s="110"/>
    </row>
    <row r="804" spans="1:11" ht="16.350000000000001" customHeight="1">
      <c r="A804" s="45">
        <v>1</v>
      </c>
      <c r="B804" s="120"/>
      <c r="C804" s="120"/>
      <c r="D804" s="9"/>
      <c r="E804" s="9"/>
      <c r="F804" s="130">
        <f>IF(E804="",0,IF(E804&gt;0,RANK(E804,$E$796:$E$809,1)))</f>
        <v>0</v>
      </c>
      <c r="G804" s="131">
        <f>VLOOKUP(F804,$L$3:$M$33,2,0)</f>
        <v>0</v>
      </c>
      <c r="I804" s="110"/>
    </row>
    <row r="805" spans="1:11" ht="16.350000000000001" customHeight="1">
      <c r="A805" s="45">
        <v>2</v>
      </c>
      <c r="B805" s="126" t="s">
        <v>421</v>
      </c>
      <c r="C805" s="126" t="s">
        <v>422</v>
      </c>
      <c r="D805" s="9"/>
      <c r="E805" s="9"/>
      <c r="F805" s="130">
        <f t="shared" ref="F805:F809" si="151">IF(E805="",0,IF(E805&gt;0,RANK(E805,$E$796:$E$809,1)))</f>
        <v>0</v>
      </c>
      <c r="G805" s="131">
        <f t="shared" ref="G805:G809" si="152">VLOOKUP(F805,$L$3:$M$33,2,0)</f>
        <v>0</v>
      </c>
      <c r="I805" s="110"/>
    </row>
    <row r="806" spans="1:11" ht="16.350000000000001" customHeight="1">
      <c r="A806" s="45">
        <v>3</v>
      </c>
      <c r="B806" s="120" t="s">
        <v>423</v>
      </c>
      <c r="C806" s="120" t="s">
        <v>64</v>
      </c>
      <c r="D806" s="9"/>
      <c r="E806" s="9"/>
      <c r="F806" s="130">
        <f t="shared" si="151"/>
        <v>0</v>
      </c>
      <c r="G806" s="131">
        <f t="shared" si="152"/>
        <v>0</v>
      </c>
      <c r="I806" s="110"/>
    </row>
    <row r="807" spans="1:11" ht="16.350000000000001" customHeight="1">
      <c r="A807" s="45">
        <v>4</v>
      </c>
      <c r="B807" s="127" t="s">
        <v>424</v>
      </c>
      <c r="C807" s="120" t="s">
        <v>64</v>
      </c>
      <c r="D807" s="9"/>
      <c r="E807" s="9"/>
      <c r="F807" s="130">
        <f t="shared" si="151"/>
        <v>0</v>
      </c>
      <c r="G807" s="131">
        <f t="shared" si="152"/>
        <v>0</v>
      </c>
      <c r="I807" s="110"/>
    </row>
    <row r="808" spans="1:11" ht="16.350000000000001" customHeight="1">
      <c r="A808" s="45">
        <v>5</v>
      </c>
      <c r="B808" s="120" t="s">
        <v>429</v>
      </c>
      <c r="C808" s="120" t="s">
        <v>13</v>
      </c>
      <c r="D808" s="9"/>
      <c r="E808" s="9"/>
      <c r="F808" s="130">
        <f t="shared" si="151"/>
        <v>0</v>
      </c>
      <c r="G808" s="131">
        <f t="shared" si="152"/>
        <v>0</v>
      </c>
      <c r="I808" s="110"/>
    </row>
    <row r="809" spans="1:11" ht="16.350000000000001" customHeight="1">
      <c r="A809" s="45">
        <v>6</v>
      </c>
      <c r="B809" s="85"/>
      <c r="C809" s="85"/>
      <c r="D809" s="9"/>
      <c r="E809" s="9"/>
      <c r="F809" s="130">
        <f t="shared" si="151"/>
        <v>0</v>
      </c>
      <c r="G809" s="131">
        <f t="shared" si="152"/>
        <v>0</v>
      </c>
      <c r="I809" s="110"/>
    </row>
    <row r="810" spans="1:11" s="61" customFormat="1" ht="16.350000000000001" customHeight="1">
      <c r="A810" s="47" t="s">
        <v>430</v>
      </c>
      <c r="B810" s="63"/>
      <c r="C810" s="64"/>
      <c r="D810" s="72"/>
      <c r="E810" s="72"/>
      <c r="F810" s="72"/>
      <c r="G810" s="73"/>
      <c r="I810" s="110"/>
    </row>
    <row r="811" spans="1:11" ht="16.350000000000001" customHeight="1">
      <c r="A811" s="43" t="s">
        <v>0</v>
      </c>
      <c r="B811" s="7" t="s">
        <v>1</v>
      </c>
      <c r="C811" s="8" t="s">
        <v>4</v>
      </c>
      <c r="D811" s="7" t="s">
        <v>2</v>
      </c>
      <c r="E811" s="7" t="s">
        <v>6</v>
      </c>
      <c r="F811" s="128" t="s">
        <v>7</v>
      </c>
      <c r="G811" s="129" t="s">
        <v>8</v>
      </c>
      <c r="I811" s="110"/>
    </row>
    <row r="812" spans="1:11" ht="16.350000000000001" customHeight="1">
      <c r="A812" s="45">
        <v>1</v>
      </c>
      <c r="B812" s="120"/>
      <c r="C812" s="120"/>
      <c r="D812" s="9"/>
      <c r="E812" s="9"/>
      <c r="F812" s="130">
        <f>IF(E812="",0,IF(E812&gt;0,RANK(E812,$E$812:$E$825,1)))</f>
        <v>0</v>
      </c>
      <c r="G812" s="131">
        <f>VLOOKUP(F812,$L$3:$M$33,2,0)</f>
        <v>0</v>
      </c>
      <c r="I812" s="110"/>
    </row>
    <row r="813" spans="1:11" ht="16.350000000000001" customHeight="1">
      <c r="A813" s="45">
        <v>2</v>
      </c>
      <c r="B813" s="127" t="s">
        <v>433</v>
      </c>
      <c r="C813" s="120" t="s">
        <v>84</v>
      </c>
      <c r="D813" s="76"/>
      <c r="E813" s="9"/>
      <c r="F813" s="130">
        <f t="shared" ref="F813:F817" si="153">IF(E813="",0,IF(E813&gt;0,RANK(E813,$E$812:$E$825,1)))</f>
        <v>0</v>
      </c>
      <c r="G813" s="131">
        <f t="shared" ref="G813:G817" si="154">VLOOKUP(F813,$L$3:$M$33,2,0)</f>
        <v>0</v>
      </c>
      <c r="I813" s="110"/>
    </row>
    <row r="814" spans="1:11" ht="16.350000000000001" customHeight="1">
      <c r="A814" s="45">
        <v>3</v>
      </c>
      <c r="B814" s="120" t="s">
        <v>434</v>
      </c>
      <c r="C814" s="120" t="s">
        <v>13</v>
      </c>
      <c r="D814" s="9"/>
      <c r="E814" s="9"/>
      <c r="F814" s="130">
        <f t="shared" si="153"/>
        <v>0</v>
      </c>
      <c r="G814" s="131">
        <f t="shared" si="154"/>
        <v>0</v>
      </c>
      <c r="H814" s="31">
        <v>850716</v>
      </c>
      <c r="I814" s="111"/>
      <c r="J814" s="101"/>
      <c r="K814" s="101"/>
    </row>
    <row r="815" spans="1:11" ht="16.350000000000001" customHeight="1">
      <c r="A815" s="45">
        <v>4</v>
      </c>
      <c r="B815" s="120" t="s">
        <v>435</v>
      </c>
      <c r="C815" s="120" t="s">
        <v>88</v>
      </c>
      <c r="D815" s="20"/>
      <c r="E815" s="9"/>
      <c r="F815" s="130">
        <f t="shared" si="153"/>
        <v>0</v>
      </c>
      <c r="G815" s="131">
        <f t="shared" si="154"/>
        <v>0</v>
      </c>
      <c r="H815" s="31">
        <v>881027</v>
      </c>
      <c r="I815" s="111"/>
      <c r="J815" s="101"/>
      <c r="K815" s="101"/>
    </row>
    <row r="816" spans="1:11" ht="16.350000000000001" customHeight="1">
      <c r="A816" s="45">
        <v>5</v>
      </c>
      <c r="B816" s="120" t="s">
        <v>440</v>
      </c>
      <c r="C816" s="120" t="s">
        <v>13</v>
      </c>
      <c r="D816" s="9"/>
      <c r="E816" s="9"/>
      <c r="F816" s="130">
        <f t="shared" si="153"/>
        <v>0</v>
      </c>
      <c r="G816" s="131">
        <f t="shared" si="154"/>
        <v>0</v>
      </c>
      <c r="I816" s="110"/>
    </row>
    <row r="817" spans="1:11" ht="16.350000000000001" customHeight="1">
      <c r="A817" s="45">
        <v>6</v>
      </c>
      <c r="B817" s="90"/>
      <c r="C817" s="23"/>
      <c r="D817" s="9"/>
      <c r="E817" s="9"/>
      <c r="F817" s="130">
        <f t="shared" si="153"/>
        <v>0</v>
      </c>
      <c r="G817" s="131">
        <f t="shared" si="154"/>
        <v>0</v>
      </c>
      <c r="I817" s="110"/>
    </row>
    <row r="818" spans="1:11" s="61" customFormat="1" ht="16.350000000000001" customHeight="1">
      <c r="A818" s="47" t="s">
        <v>431</v>
      </c>
      <c r="B818" s="63"/>
      <c r="C818" s="64"/>
      <c r="D818" s="72"/>
      <c r="E818" s="72"/>
      <c r="F818" s="144"/>
      <c r="G818" s="145"/>
      <c r="I818" s="110"/>
    </row>
    <row r="819" spans="1:11" ht="16.350000000000001" customHeight="1">
      <c r="A819" s="43" t="s">
        <v>0</v>
      </c>
      <c r="B819" s="7" t="s">
        <v>1</v>
      </c>
      <c r="C819" s="8" t="s">
        <v>4</v>
      </c>
      <c r="D819" s="7" t="s">
        <v>2</v>
      </c>
      <c r="E819" s="7" t="s">
        <v>6</v>
      </c>
      <c r="F819" s="128" t="s">
        <v>7</v>
      </c>
      <c r="G819" s="129" t="s">
        <v>8</v>
      </c>
      <c r="I819" s="110"/>
    </row>
    <row r="820" spans="1:11" ht="16.350000000000001" customHeight="1">
      <c r="A820" s="45">
        <v>1</v>
      </c>
      <c r="B820" s="120" t="s">
        <v>437</v>
      </c>
      <c r="C820" s="120" t="s">
        <v>13</v>
      </c>
      <c r="D820" s="9"/>
      <c r="E820" s="9"/>
      <c r="F820" s="130">
        <f>IF(E820="",0,IF(E820&gt;0,RANK(E820,$E$812:$E$825,1)))</f>
        <v>0</v>
      </c>
      <c r="G820" s="131">
        <f>VLOOKUP(F820,$L$3:$M$33,2,0)</f>
        <v>0</v>
      </c>
      <c r="I820" s="110"/>
    </row>
    <row r="821" spans="1:11" ht="16.350000000000001" customHeight="1">
      <c r="A821" s="45">
        <v>2</v>
      </c>
      <c r="B821" s="120" t="s">
        <v>438</v>
      </c>
      <c r="C821" s="120" t="s">
        <v>13</v>
      </c>
      <c r="D821" s="76"/>
      <c r="E821" s="9"/>
      <c r="F821" s="130">
        <f t="shared" ref="F821:F825" si="155">IF(E821="",0,IF(E821&gt;0,RANK(E821,$E$812:$E$825,1)))</f>
        <v>0</v>
      </c>
      <c r="G821" s="131">
        <f t="shared" ref="G821:G825" si="156">VLOOKUP(F821,$L$3:$M$33,2,0)</f>
        <v>0</v>
      </c>
      <c r="I821" s="110"/>
    </row>
    <row r="822" spans="1:11" ht="16.350000000000001" customHeight="1">
      <c r="A822" s="45">
        <v>3</v>
      </c>
      <c r="B822" s="120" t="s">
        <v>439</v>
      </c>
      <c r="C822" s="120" t="s">
        <v>13</v>
      </c>
      <c r="D822" s="9"/>
      <c r="E822" s="9"/>
      <c r="F822" s="130">
        <f t="shared" si="155"/>
        <v>0</v>
      </c>
      <c r="G822" s="131">
        <f t="shared" si="156"/>
        <v>0</v>
      </c>
      <c r="H822" s="31">
        <v>850716</v>
      </c>
      <c r="I822" s="111"/>
      <c r="J822" s="101"/>
      <c r="K822" s="101"/>
    </row>
    <row r="823" spans="1:11" ht="16.350000000000001" customHeight="1">
      <c r="A823" s="45">
        <v>4</v>
      </c>
      <c r="B823" s="120" t="s">
        <v>432</v>
      </c>
      <c r="C823" s="120" t="s">
        <v>53</v>
      </c>
      <c r="D823" s="20"/>
      <c r="E823" s="9"/>
      <c r="F823" s="130">
        <f t="shared" si="155"/>
        <v>0</v>
      </c>
      <c r="G823" s="131">
        <f t="shared" si="156"/>
        <v>0</v>
      </c>
      <c r="H823" s="31">
        <v>881027</v>
      </c>
      <c r="I823" s="111"/>
      <c r="J823" s="101"/>
      <c r="K823" s="101"/>
    </row>
    <row r="824" spans="1:11" ht="16.350000000000001" customHeight="1">
      <c r="A824" s="45">
        <v>5</v>
      </c>
      <c r="B824" s="120" t="s">
        <v>436</v>
      </c>
      <c r="C824" s="120" t="s">
        <v>88</v>
      </c>
      <c r="D824" s="9"/>
      <c r="E824" s="9"/>
      <c r="F824" s="130">
        <f t="shared" si="155"/>
        <v>0</v>
      </c>
      <c r="G824" s="131">
        <f t="shared" si="156"/>
        <v>0</v>
      </c>
      <c r="I824" s="110"/>
    </row>
    <row r="825" spans="1:11" ht="16.350000000000001" customHeight="1">
      <c r="A825" s="45">
        <v>6</v>
      </c>
      <c r="B825" s="90"/>
      <c r="C825" s="23"/>
      <c r="D825" s="9"/>
      <c r="E825" s="9"/>
      <c r="F825" s="130">
        <f t="shared" si="155"/>
        <v>0</v>
      </c>
      <c r="G825" s="131">
        <f t="shared" si="156"/>
        <v>0</v>
      </c>
      <c r="I825" s="110"/>
    </row>
    <row r="826" spans="1:11" ht="16.350000000000001" customHeight="1">
      <c r="A826" s="47" t="s">
        <v>441</v>
      </c>
      <c r="B826" s="63"/>
      <c r="C826" s="64"/>
      <c r="D826" s="72"/>
      <c r="E826" s="72"/>
      <c r="F826" s="72"/>
      <c r="G826" s="73"/>
    </row>
    <row r="827" spans="1:11" ht="16.350000000000001" customHeight="1">
      <c r="A827" s="43" t="s">
        <v>0</v>
      </c>
      <c r="B827" s="7" t="s">
        <v>1</v>
      </c>
      <c r="C827" s="8" t="s">
        <v>4</v>
      </c>
      <c r="D827" s="7" t="s">
        <v>2</v>
      </c>
      <c r="E827" s="7" t="s">
        <v>6</v>
      </c>
      <c r="F827" s="7" t="s">
        <v>7</v>
      </c>
      <c r="G827" s="44" t="s">
        <v>8</v>
      </c>
    </row>
    <row r="828" spans="1:11" ht="16.350000000000001" customHeight="1">
      <c r="A828" s="45">
        <v>1</v>
      </c>
      <c r="B828" s="120"/>
      <c r="C828" s="120"/>
      <c r="D828" s="9"/>
      <c r="E828" s="9"/>
      <c r="F828" s="10">
        <f>IF(E828="",0,IF(E828&gt;0,RANK(E828,E828:E833,1)))</f>
        <v>0</v>
      </c>
      <c r="G828" s="46">
        <f>VLOOKUP(F828,$L$3:$M$33,2,0)</f>
        <v>0</v>
      </c>
    </row>
    <row r="829" spans="1:11" ht="16.350000000000001" customHeight="1">
      <c r="A829" s="45">
        <v>2</v>
      </c>
      <c r="B829" s="120" t="s">
        <v>442</v>
      </c>
      <c r="C829" s="120" t="s">
        <v>53</v>
      </c>
      <c r="D829" s="76"/>
      <c r="E829" s="9"/>
      <c r="F829" s="10">
        <f>IF(E829="",0,IF(E829&gt;0,RANK(E829,E828:E833,1)))</f>
        <v>0</v>
      </c>
      <c r="G829" s="46">
        <f t="shared" ref="G829:G833" si="157">VLOOKUP(F829,$L$3:$M$33,2,0)</f>
        <v>0</v>
      </c>
    </row>
    <row r="830" spans="1:11" ht="16.350000000000001" customHeight="1">
      <c r="A830" s="45">
        <v>3</v>
      </c>
      <c r="B830" s="120" t="s">
        <v>443</v>
      </c>
      <c r="C830" s="120" t="s">
        <v>444</v>
      </c>
      <c r="D830" s="9"/>
      <c r="E830" s="9"/>
      <c r="F830" s="10">
        <f>IF(E830="",0,IF(E830&gt;0,RANK(E830,E828:E833,1)))</f>
        <v>0</v>
      </c>
      <c r="G830" s="46">
        <f t="shared" si="157"/>
        <v>0</v>
      </c>
    </row>
    <row r="831" spans="1:11" ht="16.350000000000001" customHeight="1">
      <c r="A831" s="45">
        <v>4</v>
      </c>
      <c r="B831" s="120" t="s">
        <v>445</v>
      </c>
      <c r="C831" s="120" t="s">
        <v>446</v>
      </c>
      <c r="D831" s="20"/>
      <c r="E831" s="9"/>
      <c r="F831" s="10">
        <f>IF(E831="",0,IF(E831&gt;0,RANK(E831,E828:E833,1)))</f>
        <v>0</v>
      </c>
      <c r="G831" s="46">
        <f t="shared" si="157"/>
        <v>0</v>
      </c>
    </row>
    <row r="832" spans="1:11" ht="16.350000000000001" customHeight="1">
      <c r="A832" s="45">
        <v>5</v>
      </c>
      <c r="B832" s="127" t="s">
        <v>447</v>
      </c>
      <c r="C832" s="120" t="s">
        <v>14</v>
      </c>
      <c r="D832" s="9"/>
      <c r="E832" s="9"/>
      <c r="F832" s="10">
        <f>IF(E832="",0,IF(E832&gt;0,RANK(E832,E828:E833,1)))</f>
        <v>0</v>
      </c>
      <c r="G832" s="46">
        <f t="shared" si="157"/>
        <v>0</v>
      </c>
    </row>
    <row r="833" spans="1:9" ht="16.350000000000001" customHeight="1">
      <c r="A833" s="45">
        <v>6</v>
      </c>
      <c r="B833" s="90"/>
      <c r="C833" s="23"/>
      <c r="D833" s="9"/>
      <c r="E833" s="9"/>
      <c r="F833" s="10">
        <f>IF(E833="",0,IF(E833&gt;0,RANK(E833,E828:E833,1)))</f>
        <v>0</v>
      </c>
      <c r="G833" s="46">
        <f t="shared" si="157"/>
        <v>0</v>
      </c>
    </row>
    <row r="834" spans="1:9" s="13" customFormat="1" ht="16.350000000000001" customHeight="1">
      <c r="A834" s="47" t="s">
        <v>448</v>
      </c>
      <c r="B834" s="17"/>
      <c r="C834" s="5"/>
      <c r="D834" s="16"/>
      <c r="E834" s="16"/>
      <c r="F834" s="16"/>
      <c r="G834" s="52"/>
    </row>
    <row r="835" spans="1:9" ht="16.350000000000001" customHeight="1">
      <c r="A835" s="43" t="s">
        <v>0</v>
      </c>
      <c r="B835" s="7" t="s">
        <v>1</v>
      </c>
      <c r="C835" s="8" t="s">
        <v>4</v>
      </c>
      <c r="D835" s="7" t="s">
        <v>2</v>
      </c>
      <c r="E835" s="7" t="s">
        <v>6</v>
      </c>
      <c r="F835" s="128" t="s">
        <v>7</v>
      </c>
      <c r="G835" s="129" t="s">
        <v>8</v>
      </c>
      <c r="I835" s="110"/>
    </row>
    <row r="836" spans="1:9" ht="16.350000000000001" customHeight="1">
      <c r="A836" s="45">
        <v>1</v>
      </c>
      <c r="B836" s="120"/>
      <c r="C836" s="120"/>
      <c r="D836" s="9"/>
      <c r="E836" s="9"/>
      <c r="F836" s="130">
        <f>IF(E836="",0,IF(E836&gt;0,RANK(E836,$E$836:$E$849,1)))</f>
        <v>0</v>
      </c>
      <c r="G836" s="131">
        <f>VLOOKUP(F836,$L$3:$M$33,2,0)</f>
        <v>0</v>
      </c>
      <c r="I836" s="110"/>
    </row>
    <row r="837" spans="1:9" ht="16.350000000000001" customHeight="1">
      <c r="A837" s="45">
        <v>2</v>
      </c>
      <c r="B837" s="120" t="s">
        <v>450</v>
      </c>
      <c r="C837" s="120" t="s">
        <v>451</v>
      </c>
      <c r="D837" s="9"/>
      <c r="E837" s="9"/>
      <c r="F837" s="130">
        <f t="shared" ref="F837:F841" si="158">IF(E837="",0,IF(E837&gt;0,RANK(E837,$E$836:$E$849,1)))</f>
        <v>0</v>
      </c>
      <c r="G837" s="131">
        <f t="shared" ref="G837:G841" si="159">VLOOKUP(F837,$L$3:$M$33,2,0)</f>
        <v>0</v>
      </c>
      <c r="I837" s="110"/>
    </row>
    <row r="838" spans="1:9" ht="16.350000000000001" customHeight="1">
      <c r="A838" s="45">
        <v>3</v>
      </c>
      <c r="B838" s="120" t="s">
        <v>452</v>
      </c>
      <c r="C838" s="120" t="s">
        <v>53</v>
      </c>
      <c r="D838" s="9"/>
      <c r="E838" s="9"/>
      <c r="F838" s="130">
        <f t="shared" si="158"/>
        <v>0</v>
      </c>
      <c r="G838" s="131">
        <f t="shared" si="159"/>
        <v>0</v>
      </c>
      <c r="I838" s="110"/>
    </row>
    <row r="839" spans="1:9" ht="16.350000000000001" customHeight="1">
      <c r="A839" s="45">
        <v>4</v>
      </c>
      <c r="B839" s="120" t="s">
        <v>453</v>
      </c>
      <c r="C839" s="120" t="s">
        <v>454</v>
      </c>
      <c r="D839" s="9"/>
      <c r="E839" s="9"/>
      <c r="F839" s="130">
        <f t="shared" si="158"/>
        <v>0</v>
      </c>
      <c r="G839" s="131">
        <f t="shared" si="159"/>
        <v>0</v>
      </c>
      <c r="I839" s="110"/>
    </row>
    <row r="840" spans="1:9" ht="16.350000000000001" customHeight="1">
      <c r="A840" s="45">
        <v>5</v>
      </c>
      <c r="B840" s="120" t="s">
        <v>455</v>
      </c>
      <c r="C840" s="120" t="s">
        <v>456</v>
      </c>
      <c r="D840" s="9"/>
      <c r="E840" s="9"/>
      <c r="F840" s="130">
        <f t="shared" si="158"/>
        <v>0</v>
      </c>
      <c r="G840" s="131">
        <f t="shared" si="159"/>
        <v>0</v>
      </c>
      <c r="I840" s="110"/>
    </row>
    <row r="841" spans="1:9" ht="16.350000000000001" customHeight="1">
      <c r="A841" s="45">
        <v>6</v>
      </c>
      <c r="B841" s="85"/>
      <c r="C841" s="85"/>
      <c r="D841" s="9"/>
      <c r="E841" s="9"/>
      <c r="F841" s="130">
        <f t="shared" si="158"/>
        <v>0</v>
      </c>
      <c r="G841" s="131">
        <f t="shared" si="159"/>
        <v>0</v>
      </c>
      <c r="I841" s="110"/>
    </row>
    <row r="842" spans="1:9" s="13" customFormat="1" ht="16.350000000000001" customHeight="1">
      <c r="A842" s="47" t="s">
        <v>449</v>
      </c>
      <c r="B842" s="17"/>
      <c r="C842" s="5"/>
      <c r="D842" s="16"/>
      <c r="E842" s="16"/>
      <c r="F842" s="138"/>
      <c r="G842" s="139"/>
      <c r="I842" s="112"/>
    </row>
    <row r="843" spans="1:9" ht="16.350000000000001" customHeight="1">
      <c r="A843" s="43" t="s">
        <v>0</v>
      </c>
      <c r="B843" s="7" t="s">
        <v>1</v>
      </c>
      <c r="C843" s="8" t="s">
        <v>4</v>
      </c>
      <c r="D843" s="7" t="s">
        <v>2</v>
      </c>
      <c r="E843" s="7" t="s">
        <v>6</v>
      </c>
      <c r="F843" s="128" t="s">
        <v>7</v>
      </c>
      <c r="G843" s="129" t="s">
        <v>8</v>
      </c>
      <c r="I843" s="110"/>
    </row>
    <row r="844" spans="1:9" ht="16.350000000000001" customHeight="1">
      <c r="A844" s="45">
        <v>1</v>
      </c>
      <c r="B844" s="85"/>
      <c r="C844" s="85"/>
      <c r="D844" s="9"/>
      <c r="E844" s="9"/>
      <c r="F844" s="130">
        <f>IF(E844="",0,IF(E844&gt;0,RANK(E844,$E$836:$E$849,1)))</f>
        <v>0</v>
      </c>
      <c r="G844" s="131">
        <f>VLOOKUP(F844,$L$3:$M$33,2,0)</f>
        <v>0</v>
      </c>
      <c r="I844" s="110"/>
    </row>
    <row r="845" spans="1:9" ht="16.350000000000001" customHeight="1">
      <c r="A845" s="45">
        <v>2</v>
      </c>
      <c r="B845" s="120" t="s">
        <v>457</v>
      </c>
      <c r="C845" s="120" t="s">
        <v>64</v>
      </c>
      <c r="D845" s="9"/>
      <c r="E845" s="9"/>
      <c r="F845" s="130">
        <f t="shared" ref="F845:F849" si="160">IF(E845="",0,IF(E845&gt;0,RANK(E845,$E$836:$E$849,1)))</f>
        <v>0</v>
      </c>
      <c r="G845" s="131">
        <f t="shared" ref="G845:G849" si="161">VLOOKUP(F845,$L$3:$M$33,2,0)</f>
        <v>0</v>
      </c>
      <c r="I845" s="110"/>
    </row>
    <row r="846" spans="1:9" ht="16.350000000000001" customHeight="1">
      <c r="A846" s="45">
        <v>3</v>
      </c>
      <c r="B846" s="120" t="s">
        <v>458</v>
      </c>
      <c r="C846" s="120" t="s">
        <v>269</v>
      </c>
      <c r="D846" s="9"/>
      <c r="E846" s="9"/>
      <c r="F846" s="130">
        <f t="shared" si="160"/>
        <v>0</v>
      </c>
      <c r="G846" s="131">
        <f t="shared" si="161"/>
        <v>0</v>
      </c>
      <c r="I846" s="110"/>
    </row>
    <row r="847" spans="1:9" ht="16.350000000000001" customHeight="1">
      <c r="A847" s="45">
        <v>4</v>
      </c>
      <c r="B847" s="120" t="s">
        <v>459</v>
      </c>
      <c r="C847" s="120" t="s">
        <v>269</v>
      </c>
      <c r="D847" s="9"/>
      <c r="E847" s="9"/>
      <c r="F847" s="130">
        <f t="shared" si="160"/>
        <v>0</v>
      </c>
      <c r="G847" s="131">
        <f t="shared" si="161"/>
        <v>0</v>
      </c>
      <c r="I847" s="110"/>
    </row>
    <row r="848" spans="1:9" ht="16.350000000000001" customHeight="1">
      <c r="A848" s="45">
        <v>5</v>
      </c>
      <c r="B848" s="120" t="s">
        <v>460</v>
      </c>
      <c r="C848" s="120" t="s">
        <v>405</v>
      </c>
      <c r="D848" s="9"/>
      <c r="E848" s="9"/>
      <c r="F848" s="130">
        <f t="shared" si="160"/>
        <v>0</v>
      </c>
      <c r="G848" s="131">
        <f t="shared" si="161"/>
        <v>0</v>
      </c>
      <c r="I848" s="110"/>
    </row>
    <row r="849" spans="1:9" ht="16.350000000000001" customHeight="1">
      <c r="A849" s="45">
        <v>6</v>
      </c>
      <c r="B849" s="23"/>
      <c r="C849" s="91"/>
      <c r="D849" s="9"/>
      <c r="E849" s="9"/>
      <c r="F849" s="130">
        <f t="shared" si="160"/>
        <v>0</v>
      </c>
      <c r="G849" s="131">
        <f t="shared" si="161"/>
        <v>0</v>
      </c>
      <c r="I849" s="110"/>
    </row>
    <row r="850" spans="1:9" ht="16.350000000000001" customHeight="1">
      <c r="A850" s="47" t="s">
        <v>461</v>
      </c>
      <c r="B850" s="17"/>
      <c r="C850" s="5"/>
      <c r="D850" s="16"/>
      <c r="E850" s="16"/>
      <c r="F850" s="16"/>
      <c r="G850" s="52"/>
      <c r="I850" s="110"/>
    </row>
    <row r="851" spans="1:9" ht="16.350000000000001" customHeight="1">
      <c r="A851" s="43" t="s">
        <v>0</v>
      </c>
      <c r="B851" s="7" t="s">
        <v>1</v>
      </c>
      <c r="C851" s="8" t="s">
        <v>4</v>
      </c>
      <c r="D851" s="7" t="s">
        <v>2</v>
      </c>
      <c r="E851" s="7" t="s">
        <v>6</v>
      </c>
      <c r="F851" s="128" t="s">
        <v>7</v>
      </c>
      <c r="G851" s="129" t="s">
        <v>8</v>
      </c>
      <c r="I851" s="110"/>
    </row>
    <row r="852" spans="1:9" ht="16.350000000000001" customHeight="1">
      <c r="A852" s="45">
        <v>1</v>
      </c>
      <c r="B852" s="120" t="s">
        <v>463</v>
      </c>
      <c r="C852" s="120" t="s">
        <v>64</v>
      </c>
      <c r="D852" s="9"/>
      <c r="E852" s="9"/>
      <c r="F852" s="130">
        <f>IF(E852="",0,IF(E852&gt;0,RANK(E852,$E$852:$E$865,1)))</f>
        <v>0</v>
      </c>
      <c r="G852" s="131">
        <f>VLOOKUP(F852,$L$3:$M$33,2,0)</f>
        <v>0</v>
      </c>
      <c r="I852" s="110"/>
    </row>
    <row r="853" spans="1:9" ht="16.350000000000001" customHeight="1">
      <c r="A853" s="45">
        <v>2</v>
      </c>
      <c r="B853" s="127" t="s">
        <v>464</v>
      </c>
      <c r="C853" s="120" t="s">
        <v>465</v>
      </c>
      <c r="D853" s="9"/>
      <c r="E853" s="9"/>
      <c r="F853" s="130">
        <f t="shared" ref="F853:F857" si="162">IF(E853="",0,IF(E853&gt;0,RANK(E853,$E$852:$E$865,1)))</f>
        <v>0</v>
      </c>
      <c r="G853" s="131">
        <f t="shared" ref="G853:G857" si="163">VLOOKUP(F853,$L$3:$M$33,2,0)</f>
        <v>0</v>
      </c>
      <c r="I853" s="110"/>
    </row>
    <row r="854" spans="1:9" ht="16.350000000000001" customHeight="1">
      <c r="A854" s="45">
        <v>3</v>
      </c>
      <c r="B854" s="120" t="s">
        <v>466</v>
      </c>
      <c r="C854" s="120" t="s">
        <v>467</v>
      </c>
      <c r="D854" s="9"/>
      <c r="E854" s="9"/>
      <c r="F854" s="130">
        <f t="shared" si="162"/>
        <v>0</v>
      </c>
      <c r="G854" s="131">
        <f t="shared" si="163"/>
        <v>0</v>
      </c>
      <c r="I854" s="110"/>
    </row>
    <row r="855" spans="1:9" ht="16.350000000000001" customHeight="1">
      <c r="A855" s="45">
        <v>4</v>
      </c>
      <c r="B855" s="127" t="s">
        <v>468</v>
      </c>
      <c r="C855" s="120" t="s">
        <v>15</v>
      </c>
      <c r="D855" s="9"/>
      <c r="E855" s="9"/>
      <c r="F855" s="130">
        <f t="shared" si="162"/>
        <v>0</v>
      </c>
      <c r="G855" s="131">
        <f t="shared" si="163"/>
        <v>0</v>
      </c>
      <c r="I855" s="110"/>
    </row>
    <row r="856" spans="1:9" ht="16.350000000000001" customHeight="1">
      <c r="A856" s="45">
        <v>5</v>
      </c>
      <c r="B856" s="120" t="s">
        <v>469</v>
      </c>
      <c r="C856" s="120" t="s">
        <v>15</v>
      </c>
      <c r="D856" s="9"/>
      <c r="E856" s="9"/>
      <c r="F856" s="130">
        <f t="shared" si="162"/>
        <v>0</v>
      </c>
      <c r="G856" s="131">
        <f t="shared" si="163"/>
        <v>0</v>
      </c>
      <c r="I856" s="110"/>
    </row>
    <row r="857" spans="1:9" ht="16.350000000000001" customHeight="1">
      <c r="A857" s="45">
        <v>6</v>
      </c>
      <c r="B857" s="23"/>
      <c r="C857" s="91"/>
      <c r="D857" s="9"/>
      <c r="E857" s="9"/>
      <c r="F857" s="130">
        <f t="shared" si="162"/>
        <v>0</v>
      </c>
      <c r="G857" s="131">
        <f t="shared" si="163"/>
        <v>0</v>
      </c>
      <c r="I857" s="110"/>
    </row>
    <row r="858" spans="1:9" s="13" customFormat="1" ht="16.350000000000001" customHeight="1">
      <c r="A858" s="47" t="s">
        <v>462</v>
      </c>
      <c r="B858" s="5"/>
      <c r="C858" s="5"/>
      <c r="D858" s="28"/>
      <c r="E858" s="28"/>
      <c r="F858" s="154"/>
      <c r="G858" s="155"/>
    </row>
    <row r="859" spans="1:9" ht="16.350000000000001" customHeight="1">
      <c r="A859" s="43" t="s">
        <v>0</v>
      </c>
      <c r="B859" s="7" t="s">
        <v>1</v>
      </c>
      <c r="C859" s="8" t="s">
        <v>4</v>
      </c>
      <c r="D859" s="7" t="s">
        <v>2</v>
      </c>
      <c r="E859" s="7" t="s">
        <v>6</v>
      </c>
      <c r="F859" s="128" t="s">
        <v>7</v>
      </c>
      <c r="G859" s="129" t="s">
        <v>8</v>
      </c>
      <c r="I859" s="110"/>
    </row>
    <row r="860" spans="1:9" ht="16.350000000000001" customHeight="1">
      <c r="A860" s="45">
        <v>1</v>
      </c>
      <c r="B860" s="120" t="s">
        <v>470</v>
      </c>
      <c r="C860" s="120" t="s">
        <v>405</v>
      </c>
      <c r="D860" s="9"/>
      <c r="E860" s="9"/>
      <c r="F860" s="130">
        <f>IF(E860="",0,IF(E860&gt;0,RANK(E860,$E$852:$E$865,1)))</f>
        <v>0</v>
      </c>
      <c r="G860" s="131">
        <f>VLOOKUP(F860,$L$3:$M$33,2,0)</f>
        <v>0</v>
      </c>
      <c r="I860" s="110"/>
    </row>
    <row r="861" spans="1:9" ht="16.350000000000001" customHeight="1">
      <c r="A861" s="45">
        <v>2</v>
      </c>
      <c r="B861" s="120" t="s">
        <v>471</v>
      </c>
      <c r="C861" s="120" t="s">
        <v>84</v>
      </c>
      <c r="D861" s="9"/>
      <c r="E861" s="9"/>
      <c r="F861" s="130">
        <f t="shared" ref="F861:F865" si="164">IF(E861="",0,IF(E861&gt;0,RANK(E861,$E$852:$E$865,1)))</f>
        <v>0</v>
      </c>
      <c r="G861" s="131">
        <f t="shared" ref="G861:G865" si="165">VLOOKUP(F861,$L$3:$M$33,2,0)</f>
        <v>0</v>
      </c>
      <c r="I861" s="110"/>
    </row>
    <row r="862" spans="1:9" ht="16.350000000000001" customHeight="1">
      <c r="A862" s="45">
        <v>3</v>
      </c>
      <c r="B862" s="120" t="s">
        <v>472</v>
      </c>
      <c r="C862" s="120" t="s">
        <v>88</v>
      </c>
      <c r="D862" s="9"/>
      <c r="E862" s="9"/>
      <c r="F862" s="130">
        <f t="shared" si="164"/>
        <v>0</v>
      </c>
      <c r="G862" s="131">
        <f t="shared" si="165"/>
        <v>0</v>
      </c>
      <c r="I862" s="110"/>
    </row>
    <row r="863" spans="1:9" ht="16.350000000000001" customHeight="1">
      <c r="A863" s="45">
        <v>4</v>
      </c>
      <c r="B863" s="120" t="s">
        <v>473</v>
      </c>
      <c r="C863" s="120" t="s">
        <v>88</v>
      </c>
      <c r="D863" s="9"/>
      <c r="E863" s="9"/>
      <c r="F863" s="130">
        <f t="shared" si="164"/>
        <v>0</v>
      </c>
      <c r="G863" s="131">
        <f t="shared" si="165"/>
        <v>0</v>
      </c>
      <c r="I863" s="110"/>
    </row>
    <row r="864" spans="1:9" ht="16.350000000000001" customHeight="1">
      <c r="A864" s="45">
        <v>5</v>
      </c>
      <c r="B864" s="120" t="s">
        <v>474</v>
      </c>
      <c r="C864" s="120" t="s">
        <v>401</v>
      </c>
      <c r="D864" s="9"/>
      <c r="E864" s="9"/>
      <c r="F864" s="130">
        <f t="shared" si="164"/>
        <v>0</v>
      </c>
      <c r="G864" s="131">
        <f t="shared" si="165"/>
        <v>0</v>
      </c>
      <c r="I864" s="110"/>
    </row>
    <row r="865" spans="1:9" ht="16.350000000000001" customHeight="1">
      <c r="A865" s="45">
        <v>6</v>
      </c>
      <c r="B865" s="85"/>
      <c r="C865" s="85"/>
      <c r="D865" s="9"/>
      <c r="E865" s="9"/>
      <c r="F865" s="130">
        <f t="shared" si="164"/>
        <v>0</v>
      </c>
      <c r="G865" s="131">
        <f t="shared" si="165"/>
        <v>0</v>
      </c>
      <c r="I865" s="110"/>
    </row>
    <row r="866" spans="1:9" s="13" customFormat="1" ht="16.350000000000001" customHeight="1">
      <c r="A866" s="47" t="s">
        <v>475</v>
      </c>
      <c r="B866" s="5"/>
      <c r="C866" s="5"/>
      <c r="D866" s="28"/>
      <c r="E866" s="28"/>
      <c r="F866" s="28"/>
      <c r="G866" s="56"/>
      <c r="I866" s="112"/>
    </row>
    <row r="867" spans="1:9" ht="16.350000000000001" customHeight="1">
      <c r="A867" s="43" t="s">
        <v>0</v>
      </c>
      <c r="B867" s="7" t="s">
        <v>1</v>
      </c>
      <c r="C867" s="8" t="s">
        <v>4</v>
      </c>
      <c r="D867" s="7" t="s">
        <v>2</v>
      </c>
      <c r="E867" s="7" t="s">
        <v>6</v>
      </c>
      <c r="F867" s="7" t="s">
        <v>7</v>
      </c>
      <c r="G867" s="44" t="s">
        <v>8</v>
      </c>
      <c r="I867" s="110"/>
    </row>
    <row r="868" spans="1:9" ht="16.350000000000001" customHeight="1">
      <c r="A868" s="45">
        <v>1</v>
      </c>
      <c r="B868" s="127"/>
      <c r="C868" s="120"/>
      <c r="D868" s="9"/>
      <c r="E868" s="9"/>
      <c r="F868" s="10">
        <f>IF(E868="",0,IF(E868&gt;0,RANK(E868,$E$868:$E$873,1)))</f>
        <v>0</v>
      </c>
      <c r="G868" s="46">
        <f>VLOOKUP(F868,$L$3:$M$33,2,0)</f>
        <v>0</v>
      </c>
      <c r="I868" s="110"/>
    </row>
    <row r="869" spans="1:9" ht="16.350000000000001" customHeight="1">
      <c r="A869" s="45">
        <v>2</v>
      </c>
      <c r="B869" s="127" t="s">
        <v>476</v>
      </c>
      <c r="C869" s="120" t="s">
        <v>13</v>
      </c>
      <c r="D869" s="9"/>
      <c r="E869" s="9"/>
      <c r="F869" s="10">
        <f t="shared" ref="F869:F873" si="166">IF(E869="",0,IF(E869&gt;0,RANK(E869,$E$868:$E$873,1)))</f>
        <v>0</v>
      </c>
      <c r="G869" s="46">
        <f t="shared" ref="G869:G873" si="167">VLOOKUP(F869,$L$3:$M$33,2,0)</f>
        <v>0</v>
      </c>
      <c r="I869" s="110"/>
    </row>
    <row r="870" spans="1:9" ht="16.350000000000001" customHeight="1">
      <c r="A870" s="45">
        <v>3</v>
      </c>
      <c r="B870" s="120" t="s">
        <v>477</v>
      </c>
      <c r="C870" s="120" t="s">
        <v>88</v>
      </c>
      <c r="D870" s="9"/>
      <c r="E870" s="9"/>
      <c r="F870" s="10">
        <f t="shared" si="166"/>
        <v>0</v>
      </c>
      <c r="G870" s="46">
        <f t="shared" si="167"/>
        <v>0</v>
      </c>
      <c r="I870" s="110"/>
    </row>
    <row r="871" spans="1:9" ht="16.350000000000001" customHeight="1">
      <c r="A871" s="45">
        <v>4</v>
      </c>
      <c r="B871" s="126" t="s">
        <v>478</v>
      </c>
      <c r="C871" s="126" t="s">
        <v>479</v>
      </c>
      <c r="D871" s="9"/>
      <c r="E871" s="9"/>
      <c r="F871" s="10">
        <f t="shared" si="166"/>
        <v>0</v>
      </c>
      <c r="G871" s="46">
        <f t="shared" si="167"/>
        <v>0</v>
      </c>
      <c r="I871" s="110"/>
    </row>
    <row r="872" spans="1:9" ht="16.350000000000001" customHeight="1">
      <c r="A872" s="45">
        <v>5</v>
      </c>
      <c r="B872" s="85"/>
      <c r="C872" s="85"/>
      <c r="D872" s="9"/>
      <c r="E872" s="9"/>
      <c r="F872" s="10">
        <f t="shared" si="166"/>
        <v>0</v>
      </c>
      <c r="G872" s="46">
        <f t="shared" si="167"/>
        <v>0</v>
      </c>
      <c r="I872" s="110"/>
    </row>
    <row r="873" spans="1:9" ht="16.350000000000001" customHeight="1">
      <c r="A873" s="45">
        <v>6</v>
      </c>
      <c r="B873" s="85"/>
      <c r="C873" s="85"/>
      <c r="D873" s="9"/>
      <c r="E873" s="9"/>
      <c r="F873" s="10">
        <f t="shared" si="166"/>
        <v>0</v>
      </c>
      <c r="G873" s="46">
        <f t="shared" si="167"/>
        <v>0</v>
      </c>
      <c r="I873" s="110"/>
    </row>
    <row r="874" spans="1:9" s="35" customFormat="1" ht="16.350000000000001" customHeight="1">
      <c r="A874" s="47" t="s">
        <v>480</v>
      </c>
      <c r="B874" s="5"/>
      <c r="C874" s="6"/>
      <c r="D874" s="38"/>
      <c r="E874" s="38"/>
      <c r="F874" s="38"/>
      <c r="G874" s="49"/>
    </row>
    <row r="875" spans="1:9" ht="16.350000000000001" customHeight="1">
      <c r="A875" s="43" t="s">
        <v>0</v>
      </c>
      <c r="B875" s="7" t="s">
        <v>1</v>
      </c>
      <c r="C875" s="8" t="s">
        <v>4</v>
      </c>
      <c r="D875" s="7" t="s">
        <v>2</v>
      </c>
      <c r="E875" s="7" t="s">
        <v>6</v>
      </c>
      <c r="F875" s="7" t="s">
        <v>7</v>
      </c>
      <c r="G875" s="44" t="s">
        <v>8</v>
      </c>
      <c r="I875" s="110"/>
    </row>
    <row r="876" spans="1:9" ht="16.350000000000001" customHeight="1">
      <c r="A876" s="45">
        <v>1</v>
      </c>
      <c r="B876" s="127" t="s">
        <v>481</v>
      </c>
      <c r="C876" s="120" t="s">
        <v>13</v>
      </c>
      <c r="D876" s="9"/>
      <c r="E876" s="9"/>
      <c r="F876" s="10">
        <f>IF(E876="",0,IF(E876&gt;0,RANK(E876,$E$876:$E$881,1)))</f>
        <v>0</v>
      </c>
      <c r="G876" s="46">
        <f>VLOOKUP(F876,$L$3:$M$33,2,0)</f>
        <v>0</v>
      </c>
      <c r="I876" s="110"/>
    </row>
    <row r="877" spans="1:9" ht="16.350000000000001" customHeight="1">
      <c r="A877" s="45">
        <v>2</v>
      </c>
      <c r="B877" s="127" t="s">
        <v>482</v>
      </c>
      <c r="C877" s="120" t="s">
        <v>13</v>
      </c>
      <c r="D877" s="9"/>
      <c r="E877" s="9"/>
      <c r="F877" s="10">
        <f t="shared" ref="F877:F881" si="168">IF(E877="",0,IF(E877&gt;0,RANK(E877,$E$876:$E$881,1)))</f>
        <v>0</v>
      </c>
      <c r="G877" s="46">
        <f t="shared" ref="G877:G881" si="169">VLOOKUP(F877,$L$3:$M$33,2,0)</f>
        <v>0</v>
      </c>
      <c r="I877" s="110"/>
    </row>
    <row r="878" spans="1:9" ht="16.350000000000001" customHeight="1">
      <c r="A878" s="45">
        <v>3</v>
      </c>
      <c r="B878" s="127" t="s">
        <v>483</v>
      </c>
      <c r="C878" s="120" t="s">
        <v>13</v>
      </c>
      <c r="D878" s="9"/>
      <c r="E878" s="9"/>
      <c r="F878" s="10">
        <f t="shared" si="168"/>
        <v>0</v>
      </c>
      <c r="G878" s="46">
        <f t="shared" si="169"/>
        <v>0</v>
      </c>
      <c r="I878" s="110"/>
    </row>
    <row r="879" spans="1:9" ht="16.350000000000001" customHeight="1">
      <c r="A879" s="45">
        <v>4</v>
      </c>
      <c r="B879" s="120" t="s">
        <v>484</v>
      </c>
      <c r="C879" s="120" t="s">
        <v>485</v>
      </c>
      <c r="D879" s="9"/>
      <c r="E879" s="9"/>
      <c r="F879" s="10">
        <f t="shared" si="168"/>
        <v>0</v>
      </c>
      <c r="G879" s="46">
        <f t="shared" si="169"/>
        <v>0</v>
      </c>
      <c r="I879" s="110"/>
    </row>
    <row r="880" spans="1:9" ht="16.350000000000001" customHeight="1">
      <c r="A880" s="45">
        <v>5</v>
      </c>
      <c r="B880" s="127" t="s">
        <v>486</v>
      </c>
      <c r="C880" s="120" t="s">
        <v>84</v>
      </c>
      <c r="D880" s="9"/>
      <c r="E880" s="9"/>
      <c r="F880" s="10">
        <f t="shared" si="168"/>
        <v>0</v>
      </c>
      <c r="G880" s="46">
        <f t="shared" si="169"/>
        <v>0</v>
      </c>
      <c r="I880" s="110"/>
    </row>
    <row r="881" spans="1:9" ht="16.350000000000001" customHeight="1">
      <c r="A881" s="45">
        <v>6</v>
      </c>
      <c r="B881" s="85"/>
      <c r="C881" s="85"/>
      <c r="D881" s="9"/>
      <c r="E881" s="9"/>
      <c r="F881" s="10">
        <f t="shared" si="168"/>
        <v>0</v>
      </c>
      <c r="G881" s="46">
        <f t="shared" si="169"/>
        <v>0</v>
      </c>
      <c r="I881" s="110"/>
    </row>
    <row r="882" spans="1:9" s="35" customFormat="1" ht="16.350000000000001" customHeight="1">
      <c r="A882" s="47" t="s">
        <v>487</v>
      </c>
      <c r="B882" s="5"/>
      <c r="C882" s="6"/>
      <c r="D882" s="38"/>
      <c r="E882" s="38"/>
      <c r="F882" s="38"/>
      <c r="G882" s="49"/>
      <c r="I882" s="110"/>
    </row>
    <row r="883" spans="1:9" ht="16.350000000000001" customHeight="1">
      <c r="A883" s="43" t="s">
        <v>0</v>
      </c>
      <c r="B883" s="7" t="s">
        <v>1</v>
      </c>
      <c r="C883" s="8" t="s">
        <v>4</v>
      </c>
      <c r="D883" s="7" t="s">
        <v>2</v>
      </c>
      <c r="E883" s="7" t="s">
        <v>6</v>
      </c>
      <c r="F883" s="7" t="s">
        <v>7</v>
      </c>
      <c r="G883" s="44" t="s">
        <v>8</v>
      </c>
      <c r="I883" s="110"/>
    </row>
    <row r="884" spans="1:9" ht="16.350000000000001" customHeight="1">
      <c r="A884" s="45">
        <v>1</v>
      </c>
      <c r="B884" s="85"/>
      <c r="C884" s="85"/>
      <c r="D884" s="1"/>
      <c r="E884" s="9"/>
      <c r="F884" s="10">
        <f>IF(E884="",0,IF(E884&gt;0,RANK(E884,$E$884:$E$889,1)))</f>
        <v>0</v>
      </c>
      <c r="G884" s="46">
        <f>VLOOKUP(F884,$L$3:$M$33,2,0)</f>
        <v>0</v>
      </c>
      <c r="I884" s="110"/>
    </row>
    <row r="885" spans="1:9" ht="16.350000000000001" customHeight="1">
      <c r="A885" s="45">
        <v>2</v>
      </c>
      <c r="B885" s="120"/>
      <c r="C885" s="120"/>
      <c r="D885" s="9"/>
      <c r="E885" s="9"/>
      <c r="F885" s="10">
        <f t="shared" ref="F885:F889" si="170">IF(E885="",0,IF(E885&gt;0,RANK(E885,$E$884:$E$889,1)))</f>
        <v>0</v>
      </c>
      <c r="G885" s="46">
        <f t="shared" ref="G885:G889" si="171">VLOOKUP(F885,$L$3:$M$33,2,0)</f>
        <v>0</v>
      </c>
      <c r="I885" s="110"/>
    </row>
    <row r="886" spans="1:9" ht="16.350000000000001" customHeight="1">
      <c r="A886" s="45">
        <v>3</v>
      </c>
      <c r="B886" s="120" t="s">
        <v>488</v>
      </c>
      <c r="C886" s="120" t="s">
        <v>444</v>
      </c>
      <c r="D886" s="9"/>
      <c r="E886" s="9"/>
      <c r="F886" s="10">
        <f t="shared" si="170"/>
        <v>0</v>
      </c>
      <c r="G886" s="46">
        <f t="shared" si="171"/>
        <v>0</v>
      </c>
      <c r="I886" s="110"/>
    </row>
    <row r="887" spans="1:9" ht="16.350000000000001" customHeight="1">
      <c r="A887" s="45">
        <v>4</v>
      </c>
      <c r="B887" s="156"/>
      <c r="C887" s="156"/>
      <c r="D887" s="34"/>
      <c r="E887" s="34"/>
      <c r="F887" s="10">
        <f t="shared" si="170"/>
        <v>0</v>
      </c>
      <c r="G887" s="50">
        <f t="shared" si="171"/>
        <v>0</v>
      </c>
      <c r="I887" s="110"/>
    </row>
    <row r="888" spans="1:9" ht="16.350000000000001" customHeight="1">
      <c r="A888" s="45">
        <v>5</v>
      </c>
      <c r="B888" s="85"/>
      <c r="C888" s="85"/>
      <c r="D888" s="9"/>
      <c r="E888" s="9"/>
      <c r="F888" s="10">
        <f t="shared" si="170"/>
        <v>0</v>
      </c>
      <c r="G888" s="46">
        <f t="shared" si="171"/>
        <v>0</v>
      </c>
      <c r="I888" s="110"/>
    </row>
    <row r="889" spans="1:9" ht="16.350000000000001" customHeight="1">
      <c r="A889" s="45">
        <v>6</v>
      </c>
      <c r="B889" s="85"/>
      <c r="C889" s="85"/>
      <c r="D889" s="9"/>
      <c r="E889" s="9"/>
      <c r="F889" s="10">
        <f t="shared" si="170"/>
        <v>0</v>
      </c>
      <c r="G889" s="46">
        <f t="shared" si="171"/>
        <v>0</v>
      </c>
      <c r="I889" s="110"/>
    </row>
    <row r="890" spans="1:9" s="35" customFormat="1" ht="16.350000000000001" customHeight="1">
      <c r="A890" s="47" t="s">
        <v>489</v>
      </c>
      <c r="B890" s="5"/>
      <c r="C890" s="6"/>
      <c r="D890" s="38"/>
      <c r="E890" s="38"/>
      <c r="F890" s="38"/>
      <c r="G890" s="49"/>
      <c r="I890" s="110"/>
    </row>
    <row r="891" spans="1:9" ht="16.350000000000001" customHeight="1">
      <c r="A891" s="43" t="s">
        <v>0</v>
      </c>
      <c r="B891" s="7" t="s">
        <v>1</v>
      </c>
      <c r="C891" s="8" t="s">
        <v>4</v>
      </c>
      <c r="D891" s="7" t="s">
        <v>2</v>
      </c>
      <c r="E891" s="7" t="s">
        <v>6</v>
      </c>
      <c r="F891" s="7" t="s">
        <v>7</v>
      </c>
      <c r="G891" s="44" t="s">
        <v>8</v>
      </c>
      <c r="I891" s="110"/>
    </row>
    <row r="892" spans="1:9" ht="16.350000000000001" customHeight="1">
      <c r="A892" s="45">
        <v>1</v>
      </c>
      <c r="B892" s="74"/>
      <c r="C892" s="74"/>
      <c r="D892" s="9"/>
      <c r="E892" s="9"/>
      <c r="F892" s="10">
        <f>IF(E892="",0,IF(E892&gt;0,RANK(E892,$E$892:$E$897,1)))</f>
        <v>0</v>
      </c>
      <c r="G892" s="46">
        <f>VLOOKUP(F892,$L$3:$M$33,2,0)</f>
        <v>0</v>
      </c>
      <c r="I892" s="110"/>
    </row>
    <row r="893" spans="1:9" ht="16.350000000000001" customHeight="1">
      <c r="A893" s="45">
        <v>2</v>
      </c>
      <c r="B893" s="85"/>
      <c r="C893" s="85"/>
      <c r="D893" s="9"/>
      <c r="E893" s="9"/>
      <c r="F893" s="10">
        <f t="shared" ref="F893:F897" si="172">IF(E893="",0,IF(E893&gt;0,RANK(E893,$E$892:$E$897,1)))</f>
        <v>0</v>
      </c>
      <c r="G893" s="46">
        <f t="shared" ref="G893:G897" si="173">VLOOKUP(F893,$L$3:$M$33,2,0)</f>
        <v>0</v>
      </c>
      <c r="I893" s="110"/>
    </row>
    <row r="894" spans="1:9" ht="16.350000000000001" customHeight="1">
      <c r="A894" s="45">
        <v>3</v>
      </c>
      <c r="B894" s="120" t="s">
        <v>490</v>
      </c>
      <c r="C894" s="120" t="s">
        <v>491</v>
      </c>
      <c r="D894" s="9"/>
      <c r="E894" s="9"/>
      <c r="F894" s="10">
        <f t="shared" si="172"/>
        <v>0</v>
      </c>
      <c r="G894" s="46">
        <f t="shared" si="173"/>
        <v>0</v>
      </c>
      <c r="I894" s="110"/>
    </row>
    <row r="895" spans="1:9" ht="16.350000000000001" customHeight="1">
      <c r="A895" s="45">
        <v>4</v>
      </c>
      <c r="B895" s="85"/>
      <c r="C895" s="85"/>
      <c r="D895" s="21"/>
      <c r="E895" s="9"/>
      <c r="F895" s="10">
        <f t="shared" si="172"/>
        <v>0</v>
      </c>
      <c r="G895" s="46">
        <f t="shared" si="173"/>
        <v>0</v>
      </c>
      <c r="I895" s="110"/>
    </row>
    <row r="896" spans="1:9" ht="16.350000000000001" customHeight="1">
      <c r="A896" s="45">
        <v>5</v>
      </c>
      <c r="B896" s="76"/>
      <c r="C896" s="76"/>
      <c r="D896" s="21"/>
      <c r="E896" s="9"/>
      <c r="F896" s="10">
        <f t="shared" si="172"/>
        <v>0</v>
      </c>
      <c r="G896" s="46">
        <f t="shared" si="173"/>
        <v>0</v>
      </c>
      <c r="I896" s="110"/>
    </row>
    <row r="897" spans="1:11" ht="16.350000000000001" customHeight="1">
      <c r="A897" s="45">
        <v>6</v>
      </c>
      <c r="B897" s="1"/>
      <c r="C897" s="2"/>
      <c r="D897" s="9"/>
      <c r="E897" s="9"/>
      <c r="F897" s="10">
        <f t="shared" si="172"/>
        <v>0</v>
      </c>
      <c r="G897" s="46">
        <f t="shared" si="173"/>
        <v>0</v>
      </c>
      <c r="I897" s="110"/>
    </row>
    <row r="898" spans="1:11" ht="16.350000000000001" customHeight="1">
      <c r="A898" s="47" t="s">
        <v>492</v>
      </c>
      <c r="B898" s="5"/>
      <c r="C898" s="6"/>
      <c r="D898" s="38"/>
      <c r="E898" s="38"/>
      <c r="F898" s="38"/>
      <c r="G898" s="49"/>
    </row>
    <row r="899" spans="1:11" ht="16.350000000000001" customHeight="1">
      <c r="A899" s="43" t="s">
        <v>0</v>
      </c>
      <c r="B899" s="7" t="s">
        <v>1</v>
      </c>
      <c r="C899" s="8" t="s">
        <v>4</v>
      </c>
      <c r="D899" s="7" t="s">
        <v>2</v>
      </c>
      <c r="E899" s="7" t="s">
        <v>6</v>
      </c>
      <c r="F899" s="128" t="s">
        <v>7</v>
      </c>
      <c r="G899" s="129" t="s">
        <v>8</v>
      </c>
    </row>
    <row r="900" spans="1:11" ht="16.350000000000001" customHeight="1">
      <c r="A900" s="45">
        <v>1</v>
      </c>
      <c r="B900" s="127"/>
      <c r="C900" s="120"/>
      <c r="D900" s="9"/>
      <c r="E900" s="9"/>
      <c r="F900" s="130">
        <f>IF(E900="",0,IF(E900&gt;0,RANK(E900,E900:E913,1)))</f>
        <v>0</v>
      </c>
      <c r="G900" s="131">
        <f>VLOOKUP(F900,$L$3:$M$33,2,0)</f>
        <v>0</v>
      </c>
    </row>
    <row r="901" spans="1:11" ht="16.350000000000001" customHeight="1">
      <c r="A901" s="45">
        <v>2</v>
      </c>
      <c r="B901" s="127" t="s">
        <v>493</v>
      </c>
      <c r="C901" s="120" t="s">
        <v>14</v>
      </c>
      <c r="D901" s="9"/>
      <c r="E901" s="9"/>
      <c r="F901" s="130">
        <f>IF(E901="",0,IF(E901&gt;0,RANK(E901,E900:E913,1)))</f>
        <v>0</v>
      </c>
      <c r="G901" s="131">
        <f t="shared" ref="G901:G905" si="174">VLOOKUP(F901,$L$3:$M$33,2,0)</f>
        <v>0</v>
      </c>
    </row>
    <row r="902" spans="1:11" ht="16.350000000000001" customHeight="1">
      <c r="A902" s="45">
        <v>3</v>
      </c>
      <c r="B902" s="120" t="s">
        <v>494</v>
      </c>
      <c r="C902" s="120" t="s">
        <v>495</v>
      </c>
      <c r="D902" s="9"/>
      <c r="E902" s="9"/>
      <c r="F902" s="130">
        <f>IF(E902="",0,IF(E902&gt;0,RANK(E902,E900:E913,1)))</f>
        <v>0</v>
      </c>
      <c r="G902" s="131">
        <f t="shared" si="174"/>
        <v>0</v>
      </c>
    </row>
    <row r="903" spans="1:11" ht="16.350000000000001" customHeight="1">
      <c r="A903" s="45">
        <v>4</v>
      </c>
      <c r="B903" s="120" t="s">
        <v>496</v>
      </c>
      <c r="C903" s="120" t="s">
        <v>497</v>
      </c>
      <c r="D903" s="21"/>
      <c r="E903" s="9"/>
      <c r="F903" s="130">
        <f>IF(E903="",0,IF(E903&gt;0,RANK(E903,E900:E913,1)))</f>
        <v>0</v>
      </c>
      <c r="G903" s="131">
        <f t="shared" si="174"/>
        <v>0</v>
      </c>
    </row>
    <row r="904" spans="1:11" ht="16.350000000000001" customHeight="1">
      <c r="A904" s="45">
        <v>5</v>
      </c>
      <c r="B904" s="120" t="s">
        <v>498</v>
      </c>
      <c r="C904" s="120" t="s">
        <v>84</v>
      </c>
      <c r="D904" s="21"/>
      <c r="E904" s="9"/>
      <c r="F904" s="130">
        <f>IF(E904="",0,IF(E904&gt;0,RANK(E904,E900:E913,1)))</f>
        <v>0</v>
      </c>
      <c r="G904" s="131">
        <f t="shared" si="174"/>
        <v>0</v>
      </c>
    </row>
    <row r="905" spans="1:11" ht="16.350000000000001" customHeight="1">
      <c r="A905" s="45">
        <v>6</v>
      </c>
      <c r="B905" s="85"/>
      <c r="C905" s="85"/>
      <c r="D905" s="9"/>
      <c r="E905" s="9"/>
      <c r="F905" s="130">
        <f>IF(E905="",0,IF(E905&gt;0,RANK(E905,E900:E913,1)))</f>
        <v>0</v>
      </c>
      <c r="G905" s="131">
        <f t="shared" si="174"/>
        <v>0</v>
      </c>
    </row>
    <row r="906" spans="1:11" ht="16.350000000000001" customHeight="1">
      <c r="A906" s="47" t="s">
        <v>502</v>
      </c>
      <c r="B906" s="5"/>
      <c r="C906" s="4"/>
      <c r="F906" s="130"/>
      <c r="G906" s="132"/>
    </row>
    <row r="907" spans="1:11" ht="16.350000000000001" customHeight="1">
      <c r="A907" s="43" t="s">
        <v>0</v>
      </c>
      <c r="B907" s="7" t="s">
        <v>1</v>
      </c>
      <c r="C907" s="8" t="s">
        <v>4</v>
      </c>
      <c r="D907" s="7" t="s">
        <v>2</v>
      </c>
      <c r="E907" s="7" t="s">
        <v>6</v>
      </c>
      <c r="F907" s="128" t="s">
        <v>7</v>
      </c>
      <c r="G907" s="129" t="s">
        <v>8</v>
      </c>
      <c r="I907" s="110"/>
    </row>
    <row r="908" spans="1:11" ht="16.350000000000001" customHeight="1">
      <c r="A908" s="45">
        <v>1</v>
      </c>
      <c r="B908" s="85"/>
      <c r="C908" s="85"/>
      <c r="D908" s="9"/>
      <c r="E908" s="9"/>
      <c r="F908" s="130">
        <f>IF(E908="",0,IF(E908&gt;0,RANK(E908,$E$900:$E$913,1)))</f>
        <v>0</v>
      </c>
      <c r="G908" s="131">
        <f>VLOOKUP(F908,$L$3:$M$33,2,0)</f>
        <v>0</v>
      </c>
      <c r="I908" s="110"/>
    </row>
    <row r="909" spans="1:11" ht="16.350000000000001" customHeight="1">
      <c r="A909" s="45">
        <v>2</v>
      </c>
      <c r="B909" s="120" t="s">
        <v>499</v>
      </c>
      <c r="C909" s="120" t="s">
        <v>84</v>
      </c>
      <c r="D909" s="9"/>
      <c r="E909" s="9"/>
      <c r="F909" s="130">
        <f t="shared" ref="F909:F913" si="175">IF(E909="",0,IF(E909&gt;0,RANK(E909,$E$900:$E$913,1)))</f>
        <v>0</v>
      </c>
      <c r="G909" s="131">
        <f t="shared" ref="G909:G913" si="176">VLOOKUP(F909,$L$3:$M$33,2,0)</f>
        <v>0</v>
      </c>
      <c r="I909" s="110"/>
    </row>
    <row r="910" spans="1:11" ht="16.350000000000001" customHeight="1">
      <c r="A910" s="45">
        <v>3</v>
      </c>
      <c r="B910" s="120" t="s">
        <v>500</v>
      </c>
      <c r="C910" s="120" t="s">
        <v>84</v>
      </c>
      <c r="D910" s="9"/>
      <c r="E910" s="9"/>
      <c r="F910" s="130">
        <f t="shared" si="175"/>
        <v>0</v>
      </c>
      <c r="G910" s="131">
        <f t="shared" si="176"/>
        <v>0</v>
      </c>
      <c r="H910" s="31">
        <v>800425</v>
      </c>
      <c r="I910" s="111"/>
      <c r="J910" s="101"/>
      <c r="K910" s="101"/>
    </row>
    <row r="911" spans="1:11" ht="16.350000000000001" customHeight="1">
      <c r="A911" s="45">
        <v>4</v>
      </c>
      <c r="B911" s="120" t="s">
        <v>501</v>
      </c>
      <c r="C911" s="120" t="s">
        <v>13</v>
      </c>
      <c r="D911" s="9"/>
      <c r="E911" s="9"/>
      <c r="F911" s="130">
        <f t="shared" si="175"/>
        <v>0</v>
      </c>
      <c r="G911" s="131">
        <f t="shared" si="176"/>
        <v>0</v>
      </c>
      <c r="H911" s="31"/>
      <c r="I911" s="111"/>
      <c r="J911" s="101"/>
      <c r="K911" s="101"/>
    </row>
    <row r="912" spans="1:11" ht="16.350000000000001" customHeight="1">
      <c r="A912" s="45">
        <v>5</v>
      </c>
      <c r="B912" s="120" t="s">
        <v>397</v>
      </c>
      <c r="C912" s="120" t="s">
        <v>88</v>
      </c>
      <c r="D912" s="9"/>
      <c r="E912" s="9"/>
      <c r="F912" s="130">
        <f t="shared" si="175"/>
        <v>0</v>
      </c>
      <c r="G912" s="131">
        <f t="shared" si="176"/>
        <v>0</v>
      </c>
      <c r="I912" s="110"/>
    </row>
    <row r="913" spans="1:11" ht="16.350000000000001" customHeight="1">
      <c r="A913" s="45">
        <v>6</v>
      </c>
      <c r="B913" s="85"/>
      <c r="C913" s="85"/>
      <c r="D913" s="9"/>
      <c r="E913" s="9"/>
      <c r="F913" s="130">
        <f t="shared" si="175"/>
        <v>0</v>
      </c>
      <c r="G913" s="131">
        <f t="shared" si="176"/>
        <v>0</v>
      </c>
      <c r="I913" s="110"/>
    </row>
    <row r="914" spans="1:11" ht="16.350000000000001" customHeight="1">
      <c r="A914" s="47" t="s">
        <v>503</v>
      </c>
      <c r="B914" s="5"/>
      <c r="C914" s="4"/>
      <c r="F914" s="10"/>
      <c r="G914" s="48"/>
      <c r="I914" s="110"/>
    </row>
    <row r="915" spans="1:11" ht="16.350000000000001" customHeight="1">
      <c r="A915" s="43" t="s">
        <v>0</v>
      </c>
      <c r="B915" s="7" t="s">
        <v>1</v>
      </c>
      <c r="C915" s="8" t="s">
        <v>4</v>
      </c>
      <c r="D915" s="7" t="s">
        <v>2</v>
      </c>
      <c r="E915" s="7" t="s">
        <v>6</v>
      </c>
      <c r="F915" s="128" t="s">
        <v>7</v>
      </c>
      <c r="G915" s="129" t="s">
        <v>8</v>
      </c>
      <c r="I915" s="110"/>
    </row>
    <row r="916" spans="1:11" ht="16.350000000000001" customHeight="1">
      <c r="A916" s="45">
        <v>1</v>
      </c>
      <c r="B916" s="120" t="s">
        <v>505</v>
      </c>
      <c r="C916" s="120" t="s">
        <v>53</v>
      </c>
      <c r="D916" s="9"/>
      <c r="E916" s="9"/>
      <c r="F916" s="130">
        <f>IF(E916="",0,IF(E916&gt;0,RANK(E916,$E$916:$E$929,1)))</f>
        <v>0</v>
      </c>
      <c r="G916" s="131">
        <f>VLOOKUP(F916,$L$3:$M$33,2,0)</f>
        <v>0</v>
      </c>
      <c r="I916" s="110"/>
    </row>
    <row r="917" spans="1:11" ht="16.350000000000001" customHeight="1">
      <c r="A917" s="45">
        <v>2</v>
      </c>
      <c r="B917" s="120" t="s">
        <v>506</v>
      </c>
      <c r="C917" s="120" t="s">
        <v>405</v>
      </c>
      <c r="D917" s="9"/>
      <c r="E917" s="9"/>
      <c r="F917" s="130">
        <f t="shared" ref="F917:F921" si="177">IF(E917="",0,IF(E917&gt;0,RANK(E917,$E$916:$E$929,1)))</f>
        <v>0</v>
      </c>
      <c r="G917" s="131">
        <f t="shared" ref="G917:G921" si="178">VLOOKUP(F917,$L$3:$M$33,2,0)</f>
        <v>0</v>
      </c>
      <c r="I917" s="110"/>
    </row>
    <row r="918" spans="1:11" ht="16.350000000000001" customHeight="1">
      <c r="A918" s="45">
        <v>3</v>
      </c>
      <c r="B918" s="120" t="s">
        <v>507</v>
      </c>
      <c r="C918" s="120" t="s">
        <v>465</v>
      </c>
      <c r="D918" s="9"/>
      <c r="E918" s="9"/>
      <c r="F918" s="130">
        <f t="shared" si="177"/>
        <v>0</v>
      </c>
      <c r="G918" s="131">
        <f t="shared" si="178"/>
        <v>0</v>
      </c>
      <c r="I918" s="110"/>
    </row>
    <row r="919" spans="1:11" ht="16.350000000000001" customHeight="1">
      <c r="A919" s="45">
        <v>4</v>
      </c>
      <c r="B919" s="120" t="s">
        <v>508</v>
      </c>
      <c r="C919" s="120" t="s">
        <v>84</v>
      </c>
      <c r="D919" s="9"/>
      <c r="E919" s="9"/>
      <c r="F919" s="130">
        <f t="shared" si="177"/>
        <v>0</v>
      </c>
      <c r="G919" s="131">
        <f t="shared" si="178"/>
        <v>0</v>
      </c>
      <c r="I919" s="110"/>
    </row>
    <row r="920" spans="1:11" ht="16.350000000000001" customHeight="1">
      <c r="A920" s="45">
        <v>5</v>
      </c>
      <c r="B920" s="120" t="s">
        <v>406</v>
      </c>
      <c r="C920" s="120" t="s">
        <v>509</v>
      </c>
      <c r="D920" s="9"/>
      <c r="E920" s="9"/>
      <c r="F920" s="130">
        <f t="shared" si="177"/>
        <v>0</v>
      </c>
      <c r="G920" s="131">
        <f t="shared" si="178"/>
        <v>0</v>
      </c>
      <c r="I920" s="110"/>
    </row>
    <row r="921" spans="1:11" ht="16.350000000000001" customHeight="1">
      <c r="A921" s="45">
        <v>6</v>
      </c>
      <c r="B921" s="85"/>
      <c r="C921" s="85"/>
      <c r="D921" s="9"/>
      <c r="E921" s="9"/>
      <c r="F921" s="130">
        <f t="shared" si="177"/>
        <v>0</v>
      </c>
      <c r="G921" s="131">
        <f t="shared" si="178"/>
        <v>0</v>
      </c>
      <c r="I921" s="110"/>
    </row>
    <row r="922" spans="1:11" ht="16.350000000000001" customHeight="1">
      <c r="A922" s="47" t="s">
        <v>504</v>
      </c>
      <c r="B922" s="5"/>
      <c r="C922" s="4"/>
      <c r="F922" s="130"/>
      <c r="G922" s="132"/>
    </row>
    <row r="923" spans="1:11" ht="16.350000000000001" customHeight="1">
      <c r="A923" s="43" t="s">
        <v>0</v>
      </c>
      <c r="B923" s="7" t="s">
        <v>1</v>
      </c>
      <c r="C923" s="8" t="s">
        <v>4</v>
      </c>
      <c r="D923" s="7" t="s">
        <v>2</v>
      </c>
      <c r="E923" s="7" t="s">
        <v>6</v>
      </c>
      <c r="F923" s="128" t="s">
        <v>7</v>
      </c>
      <c r="G923" s="129" t="s">
        <v>8</v>
      </c>
      <c r="I923" s="110"/>
    </row>
    <row r="924" spans="1:11" ht="16.350000000000001" customHeight="1">
      <c r="A924" s="45">
        <v>1</v>
      </c>
      <c r="B924" s="85"/>
      <c r="C924" s="85"/>
      <c r="D924" s="9"/>
      <c r="E924" s="9"/>
      <c r="F924" s="130">
        <f>IF(E924="",0,IF(E924&gt;0,RANK(E924,$E$916:$E$929,1)))</f>
        <v>0</v>
      </c>
      <c r="G924" s="131">
        <f>VLOOKUP(F924,$L$3:$M$33,2,0)</f>
        <v>0</v>
      </c>
      <c r="I924" s="110"/>
    </row>
    <row r="925" spans="1:11" ht="16.350000000000001" customHeight="1">
      <c r="A925" s="45">
        <v>2</v>
      </c>
      <c r="B925" s="120" t="s">
        <v>511</v>
      </c>
      <c r="C925" s="120" t="s">
        <v>465</v>
      </c>
      <c r="D925" s="9"/>
      <c r="E925" s="9"/>
      <c r="F925" s="130">
        <f t="shared" ref="F925:F929" si="179">IF(E925="",0,IF(E925&gt;0,RANK(E925,$E$916:$E$929,1)))</f>
        <v>0</v>
      </c>
      <c r="G925" s="131">
        <f t="shared" ref="G925:G929" si="180">VLOOKUP(F925,$L$3:$M$33,2,0)</f>
        <v>0</v>
      </c>
      <c r="I925" s="110"/>
    </row>
    <row r="926" spans="1:11" ht="16.350000000000001" customHeight="1">
      <c r="A926" s="45">
        <v>3</v>
      </c>
      <c r="B926" s="120" t="s">
        <v>512</v>
      </c>
      <c r="C926" s="120" t="s">
        <v>465</v>
      </c>
      <c r="D926" s="9"/>
      <c r="E926" s="9"/>
      <c r="F926" s="130">
        <f t="shared" si="179"/>
        <v>0</v>
      </c>
      <c r="G926" s="131">
        <f t="shared" si="180"/>
        <v>0</v>
      </c>
      <c r="H926" s="31">
        <v>800425</v>
      </c>
      <c r="I926" s="111"/>
      <c r="J926" s="101"/>
      <c r="K926" s="101"/>
    </row>
    <row r="927" spans="1:11" ht="16.350000000000001" customHeight="1">
      <c r="A927" s="45">
        <v>4</v>
      </c>
      <c r="B927" s="126" t="s">
        <v>408</v>
      </c>
      <c r="C927" s="120" t="s">
        <v>510</v>
      </c>
      <c r="D927" s="9"/>
      <c r="E927" s="9"/>
      <c r="F927" s="130">
        <f t="shared" si="179"/>
        <v>0</v>
      </c>
      <c r="G927" s="131">
        <f t="shared" si="180"/>
        <v>0</v>
      </c>
      <c r="H927" s="31"/>
      <c r="I927" s="111"/>
      <c r="J927" s="101"/>
      <c r="K927" s="101"/>
    </row>
    <row r="928" spans="1:11" ht="16.350000000000001" customHeight="1">
      <c r="A928" s="45">
        <v>5</v>
      </c>
      <c r="B928" s="120" t="s">
        <v>513</v>
      </c>
      <c r="C928" s="120" t="s">
        <v>88</v>
      </c>
      <c r="D928" s="9"/>
      <c r="E928" s="9"/>
      <c r="F928" s="130">
        <f t="shared" si="179"/>
        <v>0</v>
      </c>
      <c r="G928" s="131">
        <f t="shared" si="180"/>
        <v>0</v>
      </c>
      <c r="I928" s="110"/>
    </row>
    <row r="929" spans="1:9" ht="16.350000000000001" customHeight="1">
      <c r="A929" s="45">
        <v>6</v>
      </c>
      <c r="B929" s="85"/>
      <c r="C929" s="85"/>
      <c r="D929" s="9"/>
      <c r="E929" s="9"/>
      <c r="F929" s="130">
        <f t="shared" si="179"/>
        <v>0</v>
      </c>
      <c r="G929" s="131">
        <f t="shared" si="180"/>
        <v>0</v>
      </c>
      <c r="I929" s="110"/>
    </row>
    <row r="930" spans="1:9" ht="16.350000000000001" customHeight="1">
      <c r="A930" s="47" t="s">
        <v>514</v>
      </c>
      <c r="B930" s="5"/>
      <c r="C930" s="4"/>
      <c r="F930" s="10"/>
      <c r="G930" s="48"/>
      <c r="I930" s="110"/>
    </row>
    <row r="931" spans="1:9" ht="16.350000000000001" customHeight="1">
      <c r="A931" s="43" t="s">
        <v>0</v>
      </c>
      <c r="B931" s="7" t="s">
        <v>1</v>
      </c>
      <c r="C931" s="8" t="s">
        <v>4</v>
      </c>
      <c r="D931" s="7" t="s">
        <v>2</v>
      </c>
      <c r="E931" s="7" t="s">
        <v>6</v>
      </c>
      <c r="F931" s="128" t="s">
        <v>7</v>
      </c>
      <c r="G931" s="129" t="s">
        <v>8</v>
      </c>
      <c r="I931" s="110"/>
    </row>
    <row r="932" spans="1:9" ht="16.350000000000001" customHeight="1">
      <c r="A932" s="45">
        <v>1</v>
      </c>
      <c r="B932" s="120" t="s">
        <v>516</v>
      </c>
      <c r="C932" s="120" t="s">
        <v>14</v>
      </c>
      <c r="D932" s="9"/>
      <c r="E932" s="9"/>
      <c r="F932" s="130">
        <f>IF(E932="",0,IF(E932&gt;0,RANK(E932,$E$932:$E$945,1)))</f>
        <v>0</v>
      </c>
      <c r="G932" s="131">
        <f>VLOOKUP(F932,$L$3:$M$33,2,0)</f>
        <v>0</v>
      </c>
      <c r="I932" s="110"/>
    </row>
    <row r="933" spans="1:9" ht="16.350000000000001" customHeight="1">
      <c r="A933" s="45">
        <v>2</v>
      </c>
      <c r="B933" s="120" t="s">
        <v>517</v>
      </c>
      <c r="C933" s="120" t="s">
        <v>84</v>
      </c>
      <c r="D933" s="9"/>
      <c r="E933" s="9"/>
      <c r="F933" s="130">
        <f t="shared" ref="F933:F937" si="181">IF(E933="",0,IF(E933&gt;0,RANK(E933,$E$932:$E$945,1)))</f>
        <v>0</v>
      </c>
      <c r="G933" s="131">
        <f t="shared" ref="G933:G937" si="182">VLOOKUP(F933,$L$3:$M$33,2,0)</f>
        <v>0</v>
      </c>
      <c r="I933" s="110"/>
    </row>
    <row r="934" spans="1:9" ht="16.350000000000001" customHeight="1">
      <c r="A934" s="45">
        <v>3</v>
      </c>
      <c r="B934" s="120" t="s">
        <v>518</v>
      </c>
      <c r="C934" s="120" t="s">
        <v>13</v>
      </c>
      <c r="D934" s="9"/>
      <c r="E934" s="9"/>
      <c r="F934" s="130">
        <f t="shared" si="181"/>
        <v>0</v>
      </c>
      <c r="G934" s="131">
        <f t="shared" si="182"/>
        <v>0</v>
      </c>
      <c r="I934" s="110"/>
    </row>
    <row r="935" spans="1:9" ht="16.350000000000001" customHeight="1">
      <c r="A935" s="45">
        <v>4</v>
      </c>
      <c r="B935" s="120" t="s">
        <v>519</v>
      </c>
      <c r="C935" s="120" t="s">
        <v>60</v>
      </c>
      <c r="D935" s="9"/>
      <c r="E935" s="9"/>
      <c r="F935" s="130">
        <f t="shared" si="181"/>
        <v>0</v>
      </c>
      <c r="G935" s="131">
        <f t="shared" si="182"/>
        <v>0</v>
      </c>
      <c r="I935" s="110"/>
    </row>
    <row r="936" spans="1:9" ht="16.350000000000001" customHeight="1">
      <c r="A936" s="45">
        <v>5</v>
      </c>
      <c r="B936" s="127" t="s">
        <v>520</v>
      </c>
      <c r="C936" s="120" t="s">
        <v>14</v>
      </c>
      <c r="D936" s="9"/>
      <c r="E936" s="9"/>
      <c r="F936" s="130">
        <f t="shared" si="181"/>
        <v>0</v>
      </c>
      <c r="G936" s="131">
        <f t="shared" si="182"/>
        <v>0</v>
      </c>
      <c r="I936" s="110"/>
    </row>
    <row r="937" spans="1:9" ht="16.350000000000001" customHeight="1">
      <c r="A937" s="45">
        <v>6</v>
      </c>
      <c r="B937" s="120" t="s">
        <v>802</v>
      </c>
      <c r="C937" s="120" t="s">
        <v>577</v>
      </c>
      <c r="D937" s="9"/>
      <c r="E937" s="9"/>
      <c r="F937" s="130">
        <f t="shared" si="181"/>
        <v>0</v>
      </c>
      <c r="G937" s="131">
        <f t="shared" si="182"/>
        <v>0</v>
      </c>
      <c r="I937" s="110"/>
    </row>
    <row r="938" spans="1:9" s="13" customFormat="1" ht="16.350000000000001" customHeight="1">
      <c r="A938" s="47" t="s">
        <v>515</v>
      </c>
      <c r="B938" s="5"/>
      <c r="C938" s="5"/>
      <c r="D938" s="16"/>
      <c r="E938" s="16"/>
      <c r="F938" s="138"/>
      <c r="G938" s="139"/>
    </row>
    <row r="939" spans="1:9" ht="16.350000000000001" customHeight="1">
      <c r="A939" s="43" t="s">
        <v>0</v>
      </c>
      <c r="B939" s="7" t="s">
        <v>1</v>
      </c>
      <c r="C939" s="8" t="s">
        <v>4</v>
      </c>
      <c r="D939" s="7" t="s">
        <v>2</v>
      </c>
      <c r="E939" s="7" t="s">
        <v>6</v>
      </c>
      <c r="F939" s="128" t="s">
        <v>7</v>
      </c>
      <c r="G939" s="129" t="s">
        <v>8</v>
      </c>
      <c r="I939" s="110"/>
    </row>
    <row r="940" spans="1:9" ht="16.350000000000001" customHeight="1">
      <c r="A940" s="45">
        <v>1</v>
      </c>
      <c r="B940" s="120" t="s">
        <v>521</v>
      </c>
      <c r="C940" s="120" t="s">
        <v>14</v>
      </c>
      <c r="D940" s="9"/>
      <c r="E940" s="9"/>
      <c r="F940" s="130">
        <f>IF(E940="",0,IF(E940&gt;0,RANK(E940,$E$932:$E$945,1)))</f>
        <v>0</v>
      </c>
      <c r="G940" s="131">
        <f>VLOOKUP(F940,$L$3:$M$33,2,0)</f>
        <v>0</v>
      </c>
      <c r="I940" s="110"/>
    </row>
    <row r="941" spans="1:9" ht="16.350000000000001" customHeight="1">
      <c r="A941" s="45">
        <v>2</v>
      </c>
      <c r="B941" s="127" t="s">
        <v>522</v>
      </c>
      <c r="C941" s="120" t="s">
        <v>14</v>
      </c>
      <c r="D941" s="9"/>
      <c r="E941" s="9"/>
      <c r="F941" s="130">
        <f t="shared" ref="F941:F945" si="183">IF(E941="",0,IF(E941&gt;0,RANK(E941,$E$932:$E$945,1)))</f>
        <v>0</v>
      </c>
      <c r="G941" s="131">
        <f t="shared" ref="G941:G945" si="184">VLOOKUP(F941,$L$3:$M$33,2,0)</f>
        <v>0</v>
      </c>
      <c r="I941" s="110"/>
    </row>
    <row r="942" spans="1:9" ht="16.350000000000001" customHeight="1">
      <c r="A942" s="45">
        <v>3</v>
      </c>
      <c r="B942" s="120" t="s">
        <v>523</v>
      </c>
      <c r="C942" s="120" t="s">
        <v>84</v>
      </c>
      <c r="D942" s="9"/>
      <c r="E942" s="9"/>
      <c r="F942" s="130">
        <f t="shared" si="183"/>
        <v>0</v>
      </c>
      <c r="G942" s="131">
        <f t="shared" si="184"/>
        <v>0</v>
      </c>
      <c r="I942" s="110"/>
    </row>
    <row r="943" spans="1:9" ht="16.350000000000001" customHeight="1">
      <c r="A943" s="45">
        <v>4</v>
      </c>
      <c r="B943" s="120" t="s">
        <v>419</v>
      </c>
      <c r="C943" s="120" t="s">
        <v>420</v>
      </c>
      <c r="D943" s="9"/>
      <c r="E943" s="9"/>
      <c r="F943" s="130">
        <f t="shared" si="183"/>
        <v>0</v>
      </c>
      <c r="G943" s="131">
        <f t="shared" si="184"/>
        <v>0</v>
      </c>
      <c r="I943" s="110"/>
    </row>
    <row r="944" spans="1:9" ht="16.350000000000001" customHeight="1">
      <c r="A944" s="45">
        <v>5</v>
      </c>
      <c r="B944" s="120" t="s">
        <v>524</v>
      </c>
      <c r="C944" s="120" t="s">
        <v>88</v>
      </c>
      <c r="D944" s="9"/>
      <c r="E944" s="9"/>
      <c r="F944" s="130">
        <f t="shared" si="183"/>
        <v>0</v>
      </c>
      <c r="G944" s="131">
        <f t="shared" si="184"/>
        <v>0</v>
      </c>
      <c r="I944" s="110"/>
    </row>
    <row r="945" spans="1:9" ht="16.350000000000001" customHeight="1">
      <c r="A945" s="45">
        <v>6</v>
      </c>
      <c r="B945" s="23"/>
      <c r="C945" s="91"/>
      <c r="D945" s="9"/>
      <c r="E945" s="9"/>
      <c r="F945" s="130">
        <f t="shared" si="183"/>
        <v>0</v>
      </c>
      <c r="G945" s="131">
        <f t="shared" si="184"/>
        <v>0</v>
      </c>
      <c r="I945" s="110"/>
    </row>
    <row r="946" spans="1:9" s="13" customFormat="1" ht="16.350000000000001" customHeight="1">
      <c r="A946" s="47" t="s">
        <v>525</v>
      </c>
      <c r="B946" s="5"/>
      <c r="C946" s="5"/>
      <c r="D946" s="16"/>
      <c r="E946" s="16"/>
      <c r="F946" s="16"/>
      <c r="G946" s="52"/>
      <c r="I946" s="112"/>
    </row>
    <row r="947" spans="1:9" ht="16.350000000000001" customHeight="1">
      <c r="A947" s="43" t="s">
        <v>0</v>
      </c>
      <c r="B947" s="7" t="s">
        <v>1</v>
      </c>
      <c r="C947" s="8" t="s">
        <v>4</v>
      </c>
      <c r="D947" s="7" t="s">
        <v>2</v>
      </c>
      <c r="E947" s="7" t="s">
        <v>6</v>
      </c>
      <c r="F947" s="128" t="s">
        <v>7</v>
      </c>
      <c r="G947" s="129" t="s">
        <v>8</v>
      </c>
      <c r="I947" s="110"/>
    </row>
    <row r="948" spans="1:9" ht="16.350000000000001" customHeight="1">
      <c r="A948" s="45">
        <v>1</v>
      </c>
      <c r="B948" s="120" t="s">
        <v>527</v>
      </c>
      <c r="C948" s="120" t="s">
        <v>64</v>
      </c>
      <c r="D948" s="9"/>
      <c r="E948" s="9"/>
      <c r="F948" s="130">
        <f>IF(E948="",0,IF(E948&gt;0,RANK(E948,$E$948:$E$961,1)))</f>
        <v>0</v>
      </c>
      <c r="G948" s="131">
        <f>VLOOKUP(F948,$L$3:$M$33,2,0)</f>
        <v>0</v>
      </c>
      <c r="I948" s="110"/>
    </row>
    <row r="949" spans="1:9" ht="16.350000000000001" customHeight="1">
      <c r="A949" s="45">
        <v>2</v>
      </c>
      <c r="B949" s="120" t="s">
        <v>528</v>
      </c>
      <c r="C949" s="120" t="s">
        <v>14</v>
      </c>
      <c r="D949" s="9"/>
      <c r="E949" s="9"/>
      <c r="F949" s="130">
        <f t="shared" ref="F949:F953" si="185">IF(E949="",0,IF(E949&gt;0,RANK(E949,$E$948:$E$961,1)))</f>
        <v>0</v>
      </c>
      <c r="G949" s="131">
        <f t="shared" ref="G949:G953" si="186">VLOOKUP(F949,$L$3:$M$33,2,0)</f>
        <v>0</v>
      </c>
      <c r="I949" s="110"/>
    </row>
    <row r="950" spans="1:9" ht="16.350000000000001" customHeight="1">
      <c r="A950" s="45">
        <v>3</v>
      </c>
      <c r="B950" s="120" t="s">
        <v>529</v>
      </c>
      <c r="C950" s="120" t="s">
        <v>444</v>
      </c>
      <c r="D950" s="9"/>
      <c r="E950" s="9"/>
      <c r="F950" s="130">
        <f t="shared" si="185"/>
        <v>0</v>
      </c>
      <c r="G950" s="131">
        <f t="shared" si="186"/>
        <v>0</v>
      </c>
      <c r="I950" s="110"/>
    </row>
    <row r="951" spans="1:9" ht="16.350000000000001" customHeight="1">
      <c r="A951" s="45">
        <v>4</v>
      </c>
      <c r="B951" s="120" t="s">
        <v>527</v>
      </c>
      <c r="C951" s="120" t="s">
        <v>84</v>
      </c>
      <c r="D951" s="9"/>
      <c r="E951" s="9"/>
      <c r="F951" s="130">
        <f t="shared" si="185"/>
        <v>0</v>
      </c>
      <c r="G951" s="131">
        <f t="shared" si="186"/>
        <v>0</v>
      </c>
      <c r="I951" s="110"/>
    </row>
    <row r="952" spans="1:9" ht="16.350000000000001" customHeight="1">
      <c r="A952" s="45">
        <v>5</v>
      </c>
      <c r="B952" s="120" t="s">
        <v>530</v>
      </c>
      <c r="C952" s="120" t="s">
        <v>13</v>
      </c>
      <c r="D952" s="9"/>
      <c r="E952" s="9"/>
      <c r="F952" s="130">
        <f t="shared" si="185"/>
        <v>0</v>
      </c>
      <c r="G952" s="131">
        <f t="shared" si="186"/>
        <v>0</v>
      </c>
      <c r="I952" s="110"/>
    </row>
    <row r="953" spans="1:9" ht="16.350000000000001" customHeight="1">
      <c r="A953" s="45">
        <v>6</v>
      </c>
      <c r="B953" s="120"/>
      <c r="C953" s="120"/>
      <c r="D953" s="9"/>
      <c r="E953" s="9"/>
      <c r="F953" s="130">
        <f t="shared" si="185"/>
        <v>0</v>
      </c>
      <c r="G953" s="131">
        <f t="shared" si="186"/>
        <v>0</v>
      </c>
      <c r="I953" s="110"/>
    </row>
    <row r="954" spans="1:9" ht="16.350000000000001" customHeight="1">
      <c r="A954" s="47" t="s">
        <v>526</v>
      </c>
      <c r="B954" s="5"/>
      <c r="C954" s="19"/>
      <c r="F954" s="133"/>
      <c r="G954" s="132"/>
    </row>
    <row r="955" spans="1:9" ht="16.350000000000001" customHeight="1">
      <c r="A955" s="43" t="s">
        <v>0</v>
      </c>
      <c r="B955" s="7" t="s">
        <v>1</v>
      </c>
      <c r="C955" s="8" t="s">
        <v>4</v>
      </c>
      <c r="D955" s="7" t="s">
        <v>2</v>
      </c>
      <c r="E955" s="7" t="s">
        <v>6</v>
      </c>
      <c r="F955" s="128" t="s">
        <v>7</v>
      </c>
      <c r="G955" s="129" t="s">
        <v>8</v>
      </c>
      <c r="I955" s="110"/>
    </row>
    <row r="956" spans="1:9" ht="16.350000000000001" customHeight="1">
      <c r="A956" s="45">
        <v>1</v>
      </c>
      <c r="B956" s="95"/>
      <c r="C956" s="96"/>
      <c r="D956" s="15"/>
      <c r="E956" s="9"/>
      <c r="F956" s="130">
        <f>IF(E956="",0,IF(E956&gt;0,RANK(E956,$E$948:$E$961,1)))</f>
        <v>0</v>
      </c>
      <c r="G956" s="131">
        <f>VLOOKUP(F956,$L$3:$M$33,2,0)</f>
        <v>0</v>
      </c>
      <c r="I956" s="110"/>
    </row>
    <row r="957" spans="1:9" ht="16.350000000000001" customHeight="1">
      <c r="A957" s="45">
        <v>2</v>
      </c>
      <c r="B957" s="120" t="s">
        <v>532</v>
      </c>
      <c r="C957" s="120" t="s">
        <v>53</v>
      </c>
      <c r="D957" s="15"/>
      <c r="E957" s="9"/>
      <c r="F957" s="130">
        <f t="shared" ref="F957:F961" si="187">IF(E957="",0,IF(E957&gt;0,RANK(E957,$E$948:$E$961,1)))</f>
        <v>0</v>
      </c>
      <c r="G957" s="131">
        <f t="shared" ref="G957:G961" si="188">VLOOKUP(F957,$L$3:$M$33,2,0)</f>
        <v>0</v>
      </c>
      <c r="I957" s="110"/>
    </row>
    <row r="958" spans="1:9" ht="16.350000000000001" customHeight="1">
      <c r="A958" s="45">
        <v>3</v>
      </c>
      <c r="B958" s="120" t="s">
        <v>533</v>
      </c>
      <c r="C958" s="120" t="s">
        <v>534</v>
      </c>
      <c r="D958" s="15"/>
      <c r="E958" s="9"/>
      <c r="F958" s="130">
        <f t="shared" si="187"/>
        <v>0</v>
      </c>
      <c r="G958" s="131">
        <f t="shared" si="188"/>
        <v>0</v>
      </c>
      <c r="I958" s="110"/>
    </row>
    <row r="959" spans="1:9" ht="16.350000000000001" customHeight="1">
      <c r="A959" s="45">
        <v>4</v>
      </c>
      <c r="B959" s="120" t="s">
        <v>535</v>
      </c>
      <c r="C959" s="120" t="s">
        <v>444</v>
      </c>
      <c r="D959" s="15"/>
      <c r="E959" s="9"/>
      <c r="F959" s="130">
        <f t="shared" si="187"/>
        <v>0</v>
      </c>
      <c r="G959" s="131">
        <f t="shared" si="188"/>
        <v>0</v>
      </c>
      <c r="I959" s="110"/>
    </row>
    <row r="960" spans="1:9" ht="16.350000000000001" customHeight="1">
      <c r="A960" s="45">
        <v>5</v>
      </c>
      <c r="B960" s="120" t="s">
        <v>531</v>
      </c>
      <c r="C960" s="120" t="s">
        <v>13</v>
      </c>
      <c r="D960" s="15"/>
      <c r="E960" s="9"/>
      <c r="F960" s="130">
        <f t="shared" si="187"/>
        <v>0</v>
      </c>
      <c r="G960" s="131">
        <f t="shared" si="188"/>
        <v>0</v>
      </c>
      <c r="I960" s="110"/>
    </row>
    <row r="961" spans="1:9" ht="16.350000000000001" customHeight="1">
      <c r="A961" s="45">
        <v>6</v>
      </c>
      <c r="B961" s="76"/>
      <c r="C961" s="76"/>
      <c r="D961" s="15"/>
      <c r="E961" s="9"/>
      <c r="F961" s="130">
        <f t="shared" si="187"/>
        <v>0</v>
      </c>
      <c r="G961" s="131">
        <f t="shared" si="188"/>
        <v>0</v>
      </c>
      <c r="I961" s="110"/>
    </row>
    <row r="962" spans="1:9" ht="16.350000000000001" customHeight="1">
      <c r="A962" s="47" t="s">
        <v>536</v>
      </c>
      <c r="B962" s="5"/>
      <c r="C962" s="19"/>
      <c r="E962" s="9"/>
      <c r="G962" s="48"/>
      <c r="I962" s="110"/>
    </row>
    <row r="963" spans="1:9" ht="16.350000000000001" customHeight="1">
      <c r="A963" s="43" t="s">
        <v>0</v>
      </c>
      <c r="B963" s="7" t="s">
        <v>1</v>
      </c>
      <c r="C963" s="8" t="s">
        <v>4</v>
      </c>
      <c r="D963" s="7" t="s">
        <v>2</v>
      </c>
      <c r="E963" s="7" t="s">
        <v>6</v>
      </c>
      <c r="F963" s="7" t="s">
        <v>7</v>
      </c>
      <c r="G963" s="44" t="s">
        <v>8</v>
      </c>
      <c r="I963" s="110"/>
    </row>
    <row r="964" spans="1:9" ht="16.350000000000001" customHeight="1">
      <c r="A964" s="45">
        <v>1</v>
      </c>
      <c r="B964" s="120" t="s">
        <v>537</v>
      </c>
      <c r="C964" s="120" t="s">
        <v>495</v>
      </c>
      <c r="D964" s="15"/>
      <c r="E964" s="9"/>
      <c r="F964" s="10">
        <f>IF(E964="",0,IF(E964&gt;0,RANK(E964,$E$964:$E$969,1)))</f>
        <v>0</v>
      </c>
      <c r="G964" s="46">
        <f>VLOOKUP(F964,$L$3:$M$33,2,0)</f>
        <v>0</v>
      </c>
      <c r="I964" s="110"/>
    </row>
    <row r="965" spans="1:9" ht="16.350000000000001" customHeight="1">
      <c r="A965" s="45">
        <v>2</v>
      </c>
      <c r="B965" s="120" t="s">
        <v>445</v>
      </c>
      <c r="C965" s="120" t="s">
        <v>444</v>
      </c>
      <c r="D965" s="15"/>
      <c r="E965" s="9"/>
      <c r="F965" s="10">
        <f t="shared" ref="F965:F969" si="189">IF(E965="",0,IF(E965&gt;0,RANK(E965,$E$964:$E$969,1)))</f>
        <v>0</v>
      </c>
      <c r="G965" s="46">
        <f t="shared" ref="G965:G969" si="190">VLOOKUP(F965,$L$3:$M$33,2,0)</f>
        <v>0</v>
      </c>
      <c r="I965" s="110"/>
    </row>
    <row r="966" spans="1:9" ht="16.350000000000001" customHeight="1">
      <c r="A966" s="45">
        <v>3</v>
      </c>
      <c r="B966" s="120" t="s">
        <v>538</v>
      </c>
      <c r="C966" s="120" t="s">
        <v>13</v>
      </c>
      <c r="D966" s="15"/>
      <c r="E966" s="9"/>
      <c r="F966" s="10">
        <f t="shared" si="189"/>
        <v>0</v>
      </c>
      <c r="G966" s="46">
        <f t="shared" si="190"/>
        <v>0</v>
      </c>
      <c r="I966" s="110"/>
    </row>
    <row r="967" spans="1:9" ht="16.350000000000001" customHeight="1">
      <c r="A967" s="45">
        <v>4</v>
      </c>
      <c r="B967" s="120" t="s">
        <v>538</v>
      </c>
      <c r="C967" s="120" t="s">
        <v>13</v>
      </c>
      <c r="D967" s="15"/>
      <c r="E967" s="9"/>
      <c r="F967" s="10">
        <f t="shared" si="189"/>
        <v>0</v>
      </c>
      <c r="G967" s="46">
        <f t="shared" si="190"/>
        <v>0</v>
      </c>
      <c r="I967" s="110"/>
    </row>
    <row r="968" spans="1:9" ht="16.350000000000001" customHeight="1">
      <c r="A968" s="45">
        <v>5</v>
      </c>
      <c r="B968" s="126" t="s">
        <v>539</v>
      </c>
      <c r="C968" s="120" t="s">
        <v>13</v>
      </c>
      <c r="D968" s="15"/>
      <c r="E968" s="9"/>
      <c r="F968" s="10">
        <f t="shared" si="189"/>
        <v>0</v>
      </c>
      <c r="G968" s="46">
        <f t="shared" si="190"/>
        <v>0</v>
      </c>
      <c r="I968" s="110"/>
    </row>
    <row r="969" spans="1:9" ht="16.350000000000001" customHeight="1">
      <c r="A969" s="45">
        <v>6</v>
      </c>
      <c r="B969" s="120" t="s">
        <v>540</v>
      </c>
      <c r="C969" s="120" t="s">
        <v>13</v>
      </c>
      <c r="D969" s="15"/>
      <c r="E969" s="9"/>
      <c r="F969" s="10">
        <f t="shared" si="189"/>
        <v>0</v>
      </c>
      <c r="G969" s="46">
        <f t="shared" si="190"/>
        <v>0</v>
      </c>
      <c r="I969" s="110"/>
    </row>
    <row r="970" spans="1:9" ht="16.350000000000001" customHeight="1">
      <c r="A970" s="47" t="s">
        <v>541</v>
      </c>
      <c r="B970" s="5"/>
      <c r="C970" s="19"/>
      <c r="G970" s="48"/>
    </row>
    <row r="971" spans="1:9" ht="16.350000000000001" customHeight="1">
      <c r="A971" s="43" t="s">
        <v>0</v>
      </c>
      <c r="B971" s="7" t="s">
        <v>1</v>
      </c>
      <c r="C971" s="8" t="s">
        <v>4</v>
      </c>
      <c r="D971" s="7" t="s">
        <v>2</v>
      </c>
      <c r="E971" s="7" t="s">
        <v>6</v>
      </c>
      <c r="F971" s="7" t="s">
        <v>7</v>
      </c>
      <c r="G971" s="44" t="s">
        <v>8</v>
      </c>
    </row>
    <row r="972" spans="1:9" ht="16.350000000000001" customHeight="1">
      <c r="A972" s="45">
        <v>1</v>
      </c>
      <c r="B972" s="90"/>
      <c r="C972" s="23"/>
      <c r="D972" s="15"/>
      <c r="E972" s="9"/>
      <c r="F972" s="10">
        <f>IF(E972="",0,IF(E972&gt;0,RANK(E972,E972:E977,1)))</f>
        <v>0</v>
      </c>
      <c r="G972" s="46">
        <f>VLOOKUP(F972,$L$3:$M$33,2,0)</f>
        <v>0</v>
      </c>
    </row>
    <row r="973" spans="1:9" ht="16.350000000000001" customHeight="1">
      <c r="A973" s="45">
        <v>2</v>
      </c>
      <c r="B973" s="85"/>
      <c r="C973" s="85"/>
      <c r="D973" s="15"/>
      <c r="E973" s="9"/>
      <c r="F973" s="10">
        <f>IF(E973="",0,IF(E973&gt;0,RANK(E973,E972:E977,1)))</f>
        <v>0</v>
      </c>
      <c r="G973" s="46">
        <f t="shared" ref="G973:G977" si="191">VLOOKUP(F973,$L$3:$M$33,2,0)</f>
        <v>0</v>
      </c>
    </row>
    <row r="974" spans="1:9" ht="16.350000000000001" customHeight="1">
      <c r="A974" s="45">
        <v>3</v>
      </c>
      <c r="B974" s="120" t="s">
        <v>542</v>
      </c>
      <c r="C974" s="120" t="s">
        <v>444</v>
      </c>
      <c r="D974" s="15"/>
      <c r="E974" s="9"/>
      <c r="F974" s="10">
        <f>IF(E974="",0,IF(E974&gt;0,RANK(E974,E972:E977,1)))</f>
        <v>0</v>
      </c>
      <c r="G974" s="46">
        <f t="shared" si="191"/>
        <v>0</v>
      </c>
    </row>
    <row r="975" spans="1:9" ht="16.350000000000001" customHeight="1">
      <c r="A975" s="45">
        <v>4</v>
      </c>
      <c r="B975" s="85"/>
      <c r="C975" s="85"/>
      <c r="D975" s="15"/>
      <c r="E975" s="9"/>
      <c r="F975" s="10">
        <f>IF(E975="",0,IF(E975&gt;0,RANK(E975,E972:E977,1)))</f>
        <v>0</v>
      </c>
      <c r="G975" s="46">
        <f t="shared" si="191"/>
        <v>0</v>
      </c>
    </row>
    <row r="976" spans="1:9" ht="16.350000000000001" customHeight="1">
      <c r="A976" s="45">
        <v>5</v>
      </c>
      <c r="B976" s="85"/>
      <c r="C976" s="85"/>
      <c r="D976" s="15"/>
      <c r="E976" s="9"/>
      <c r="F976" s="10">
        <f>IF(E976="",0,IF(E976&gt;0,RANK(E976,E972:E977,1)))</f>
        <v>0</v>
      </c>
      <c r="G976" s="46">
        <f t="shared" si="191"/>
        <v>0</v>
      </c>
    </row>
    <row r="977" spans="1:9" ht="16.350000000000001" customHeight="1">
      <c r="A977" s="45">
        <v>6</v>
      </c>
      <c r="B977" s="23"/>
      <c r="C977" s="91"/>
      <c r="D977" s="15"/>
      <c r="E977" s="9"/>
      <c r="F977" s="10">
        <f>IF(E977="",0,IF(E977&gt;0,RANK(E977,E972:E977,1)))</f>
        <v>0</v>
      </c>
      <c r="G977" s="46">
        <f t="shared" si="191"/>
        <v>0</v>
      </c>
    </row>
    <row r="978" spans="1:9" ht="16.350000000000001" customHeight="1">
      <c r="A978" s="47" t="s">
        <v>543</v>
      </c>
      <c r="B978" s="5"/>
      <c r="C978" s="19"/>
      <c r="G978" s="48"/>
    </row>
    <row r="979" spans="1:9" ht="16.350000000000001" customHeight="1">
      <c r="A979" s="43" t="s">
        <v>0</v>
      </c>
      <c r="B979" s="7" t="s">
        <v>1</v>
      </c>
      <c r="C979" s="8" t="s">
        <v>4</v>
      </c>
      <c r="D979" s="7" t="s">
        <v>2</v>
      </c>
      <c r="E979" s="7" t="s">
        <v>6</v>
      </c>
      <c r="F979" s="128" t="s">
        <v>7</v>
      </c>
      <c r="G979" s="129" t="s">
        <v>8</v>
      </c>
    </row>
    <row r="980" spans="1:9" ht="16.350000000000001" customHeight="1">
      <c r="A980" s="45">
        <v>1</v>
      </c>
      <c r="B980" s="120" t="s">
        <v>545</v>
      </c>
      <c r="C980" s="120" t="s">
        <v>269</v>
      </c>
      <c r="D980" s="15"/>
      <c r="E980" s="9"/>
      <c r="F980" s="130">
        <f>IF(E980="",0,IF(E980&gt;0,RANK(E980,E980:E993,1)))</f>
        <v>0</v>
      </c>
      <c r="G980" s="131">
        <f>VLOOKUP(F980,$L$3:$M$33,2,0)</f>
        <v>0</v>
      </c>
    </row>
    <row r="981" spans="1:9" ht="16.350000000000001" customHeight="1">
      <c r="A981" s="45">
        <v>2</v>
      </c>
      <c r="B981" s="120" t="s">
        <v>546</v>
      </c>
      <c r="C981" s="120" t="s">
        <v>547</v>
      </c>
      <c r="D981" s="15"/>
      <c r="E981" s="9"/>
      <c r="F981" s="130">
        <f>IF(E981="",0,IF(E981&gt;0,RANK(E981,E980:E993,1)))</f>
        <v>0</v>
      </c>
      <c r="G981" s="131">
        <f t="shared" ref="G981:G985" si="192">VLOOKUP(F981,$L$3:$M$33,2,0)</f>
        <v>0</v>
      </c>
    </row>
    <row r="982" spans="1:9" ht="16.350000000000001" customHeight="1">
      <c r="A982" s="45">
        <v>3</v>
      </c>
      <c r="B982" s="120" t="s">
        <v>548</v>
      </c>
      <c r="C982" s="120" t="s">
        <v>465</v>
      </c>
      <c r="D982" s="15"/>
      <c r="E982" s="9"/>
      <c r="F982" s="130">
        <f>IF(E982="",0,IF(E982&gt;0,RANK(E982,E980:E993,1)))</f>
        <v>0</v>
      </c>
      <c r="G982" s="131">
        <f t="shared" si="192"/>
        <v>0</v>
      </c>
    </row>
    <row r="983" spans="1:9" ht="16.350000000000001" customHeight="1">
      <c r="A983" s="45">
        <v>4</v>
      </c>
      <c r="B983" s="127" t="s">
        <v>549</v>
      </c>
      <c r="C983" s="120" t="s">
        <v>84</v>
      </c>
      <c r="D983" s="15"/>
      <c r="E983" s="9"/>
      <c r="F983" s="130">
        <f>IF(E983="",0,IF(E983&gt;0,RANK(E983,E980:E993,1)))</f>
        <v>0</v>
      </c>
      <c r="G983" s="131">
        <f t="shared" si="192"/>
        <v>0</v>
      </c>
    </row>
    <row r="984" spans="1:9" ht="16.350000000000001" customHeight="1">
      <c r="A984" s="45">
        <v>5</v>
      </c>
      <c r="B984" s="126" t="s">
        <v>550</v>
      </c>
      <c r="C984" s="120" t="s">
        <v>551</v>
      </c>
      <c r="D984" s="15"/>
      <c r="E984" s="9"/>
      <c r="F984" s="130">
        <f>IF(E984="",0,IF(E984&gt;0,RANK(E984,E980:E993,1)))</f>
        <v>0</v>
      </c>
      <c r="G984" s="131">
        <f t="shared" si="192"/>
        <v>0</v>
      </c>
    </row>
    <row r="985" spans="1:9" ht="16.350000000000001" customHeight="1">
      <c r="A985" s="45">
        <v>6</v>
      </c>
      <c r="B985" s="120" t="s">
        <v>552</v>
      </c>
      <c r="C985" s="120" t="s">
        <v>88</v>
      </c>
      <c r="D985" s="15"/>
      <c r="E985" s="9"/>
      <c r="F985" s="130">
        <f>IF(E985="",0,IF(E985&gt;0,RANK(E985,E980:E993,1)))</f>
        <v>0</v>
      </c>
      <c r="G985" s="131">
        <f t="shared" si="192"/>
        <v>0</v>
      </c>
    </row>
    <row r="986" spans="1:9" ht="16.350000000000001" customHeight="1">
      <c r="A986" s="47" t="s">
        <v>544</v>
      </c>
      <c r="B986" s="18"/>
      <c r="C986" s="18"/>
      <c r="F986" s="133"/>
      <c r="G986" s="132"/>
    </row>
    <row r="987" spans="1:9" ht="16.350000000000001" customHeight="1">
      <c r="A987" s="43" t="s">
        <v>0</v>
      </c>
      <c r="B987" s="7" t="s">
        <v>1</v>
      </c>
      <c r="C987" s="8" t="s">
        <v>4</v>
      </c>
      <c r="D987" s="7" t="s">
        <v>2</v>
      </c>
      <c r="E987" s="7" t="s">
        <v>6</v>
      </c>
      <c r="F987" s="128" t="s">
        <v>7</v>
      </c>
      <c r="G987" s="129" t="s">
        <v>8</v>
      </c>
      <c r="I987" s="110"/>
    </row>
    <row r="988" spans="1:9" ht="16.350000000000001" customHeight="1">
      <c r="A988" s="45">
        <v>1</v>
      </c>
      <c r="B988" s="85"/>
      <c r="C988" s="85"/>
      <c r="D988" s="9"/>
      <c r="E988" s="9"/>
      <c r="F988" s="130">
        <f>IF(E988="",0,IF(E988&gt;0,RANK(E988,$E$980:$E$993,1)))</f>
        <v>0</v>
      </c>
      <c r="G988" s="131">
        <f>VLOOKUP(F988,$L$3:$M$33,2,0)</f>
        <v>0</v>
      </c>
      <c r="I988" s="110"/>
    </row>
    <row r="989" spans="1:9" ht="16.350000000000001" customHeight="1">
      <c r="A989" s="45">
        <v>2</v>
      </c>
      <c r="B989" s="120" t="s">
        <v>553</v>
      </c>
      <c r="C989" s="120" t="s">
        <v>64</v>
      </c>
      <c r="D989" s="9"/>
      <c r="E989" s="9"/>
      <c r="F989" s="130">
        <f t="shared" ref="F989:F993" si="193">IF(E989="",0,IF(E989&gt;0,RANK(E989,$E$980:$E$993,1)))</f>
        <v>0</v>
      </c>
      <c r="G989" s="131">
        <f t="shared" ref="G989:G993" si="194">VLOOKUP(F989,$L$3:$M$33,2,0)</f>
        <v>0</v>
      </c>
      <c r="I989" s="110"/>
    </row>
    <row r="990" spans="1:9" ht="16.350000000000001" customHeight="1">
      <c r="A990" s="45">
        <v>3</v>
      </c>
      <c r="B990" s="127" t="s">
        <v>554</v>
      </c>
      <c r="C990" s="120" t="s">
        <v>269</v>
      </c>
      <c r="D990" s="9"/>
      <c r="E990" s="9"/>
      <c r="F990" s="130">
        <f t="shared" si="193"/>
        <v>0</v>
      </c>
      <c r="G990" s="131">
        <f t="shared" si="194"/>
        <v>0</v>
      </c>
      <c r="I990" s="110"/>
    </row>
    <row r="991" spans="1:9" ht="16.350000000000001" customHeight="1">
      <c r="A991" s="45">
        <v>4</v>
      </c>
      <c r="B991" s="120" t="s">
        <v>450</v>
      </c>
      <c r="C991" s="120" t="s">
        <v>555</v>
      </c>
      <c r="D991" s="9"/>
      <c r="E991" s="9"/>
      <c r="F991" s="130">
        <f t="shared" si="193"/>
        <v>0</v>
      </c>
      <c r="G991" s="131">
        <f t="shared" si="194"/>
        <v>0</v>
      </c>
      <c r="I991" s="110"/>
    </row>
    <row r="992" spans="1:9" ht="16.350000000000001" customHeight="1">
      <c r="A992" s="45">
        <v>5</v>
      </c>
      <c r="B992" s="120" t="s">
        <v>556</v>
      </c>
      <c r="C992" s="120" t="s">
        <v>557</v>
      </c>
      <c r="D992" s="9"/>
      <c r="E992" s="9"/>
      <c r="F992" s="130">
        <f t="shared" si="193"/>
        <v>0</v>
      </c>
      <c r="G992" s="131">
        <f t="shared" si="194"/>
        <v>0</v>
      </c>
      <c r="I992" s="110"/>
    </row>
    <row r="993" spans="1:9" ht="16.350000000000001" customHeight="1">
      <c r="A993" s="45">
        <v>6</v>
      </c>
      <c r="B993" s="85"/>
      <c r="C993" s="85"/>
      <c r="D993" s="22"/>
      <c r="E993" s="9"/>
      <c r="F993" s="130">
        <f t="shared" si="193"/>
        <v>0</v>
      </c>
      <c r="G993" s="131">
        <f t="shared" si="194"/>
        <v>0</v>
      </c>
      <c r="I993" s="110"/>
    </row>
    <row r="994" spans="1:9" ht="16.350000000000001" customHeight="1">
      <c r="A994" s="47" t="s">
        <v>558</v>
      </c>
      <c r="B994" s="18"/>
      <c r="C994" s="18"/>
      <c r="G994" s="48"/>
      <c r="I994" s="110"/>
    </row>
    <row r="995" spans="1:9" ht="16.350000000000001" customHeight="1">
      <c r="A995" s="43" t="s">
        <v>0</v>
      </c>
      <c r="B995" s="7" t="s">
        <v>1</v>
      </c>
      <c r="C995" s="8" t="s">
        <v>4</v>
      </c>
      <c r="D995" s="7" t="s">
        <v>2</v>
      </c>
      <c r="E995" s="7" t="s">
        <v>6</v>
      </c>
      <c r="F995" s="128" t="s">
        <v>7</v>
      </c>
      <c r="G995" s="129" t="s">
        <v>8</v>
      </c>
      <c r="I995" s="110"/>
    </row>
    <row r="996" spans="1:9" ht="16.350000000000001" customHeight="1">
      <c r="A996" s="45">
        <v>1</v>
      </c>
      <c r="B996" s="120" t="s">
        <v>560</v>
      </c>
      <c r="C996" s="120" t="s">
        <v>60</v>
      </c>
      <c r="D996" s="9"/>
      <c r="E996" s="9"/>
      <c r="F996" s="130">
        <f>IF(E996="",0,IF(E996&gt;0,RANK(E996,$E$996:$E$1009,1)))</f>
        <v>0</v>
      </c>
      <c r="G996" s="131">
        <f>VLOOKUP(F996,$L$3:$M$33,2,0)</f>
        <v>0</v>
      </c>
      <c r="I996" s="110"/>
    </row>
    <row r="997" spans="1:9" ht="16.350000000000001" customHeight="1">
      <c r="A997" s="45">
        <v>2</v>
      </c>
      <c r="B997" s="120" t="s">
        <v>561</v>
      </c>
      <c r="C997" s="120" t="s">
        <v>14</v>
      </c>
      <c r="D997" s="9"/>
      <c r="E997" s="9"/>
      <c r="F997" s="130">
        <f t="shared" ref="F997:F1001" si="195">IF(E997="",0,IF(E997&gt;0,RANK(E997,$E$996:$E$1009,1)))</f>
        <v>0</v>
      </c>
      <c r="G997" s="131">
        <f t="shared" ref="G997:G1001" si="196">VLOOKUP(F997,$L$3:$M$33,2,0)</f>
        <v>0</v>
      </c>
      <c r="I997" s="110"/>
    </row>
    <row r="998" spans="1:9" ht="16.350000000000001" customHeight="1">
      <c r="A998" s="45">
        <v>3</v>
      </c>
      <c r="B998" s="127" t="s">
        <v>562</v>
      </c>
      <c r="C998" s="120" t="s">
        <v>84</v>
      </c>
      <c r="D998" s="9"/>
      <c r="E998" s="9"/>
      <c r="F998" s="130">
        <f t="shared" si="195"/>
        <v>0</v>
      </c>
      <c r="G998" s="131">
        <f t="shared" si="196"/>
        <v>0</v>
      </c>
      <c r="I998" s="110"/>
    </row>
    <row r="999" spans="1:9" ht="16.350000000000001" customHeight="1">
      <c r="A999" s="45">
        <v>4</v>
      </c>
      <c r="B999" s="120" t="s">
        <v>563</v>
      </c>
      <c r="C999" s="120" t="s">
        <v>401</v>
      </c>
      <c r="D999" s="9"/>
      <c r="E999" s="9"/>
      <c r="F999" s="130">
        <f t="shared" si="195"/>
        <v>0</v>
      </c>
      <c r="G999" s="131">
        <f t="shared" si="196"/>
        <v>0</v>
      </c>
      <c r="I999" s="110"/>
    </row>
    <row r="1000" spans="1:9" ht="16.350000000000001" customHeight="1">
      <c r="A1000" s="45">
        <v>5</v>
      </c>
      <c r="B1000" s="85"/>
      <c r="C1000" s="85"/>
      <c r="D1000" s="9"/>
      <c r="E1000" s="9"/>
      <c r="F1000" s="130">
        <f t="shared" si="195"/>
        <v>0</v>
      </c>
      <c r="G1000" s="131">
        <f t="shared" si="196"/>
        <v>0</v>
      </c>
      <c r="I1000" s="110"/>
    </row>
    <row r="1001" spans="1:9" ht="16.350000000000001" customHeight="1">
      <c r="A1001" s="45">
        <v>6</v>
      </c>
      <c r="B1001" s="85"/>
      <c r="C1001" s="85"/>
      <c r="D1001" s="22"/>
      <c r="E1001" s="9"/>
      <c r="F1001" s="130">
        <f t="shared" si="195"/>
        <v>0</v>
      </c>
      <c r="G1001" s="131">
        <f t="shared" si="196"/>
        <v>0</v>
      </c>
      <c r="I1001" s="110"/>
    </row>
    <row r="1002" spans="1:9" ht="16.350000000000001" customHeight="1">
      <c r="A1002" s="47" t="s">
        <v>559</v>
      </c>
      <c r="B1002" s="18"/>
      <c r="C1002" s="18"/>
      <c r="F1002" s="133"/>
      <c r="G1002" s="132"/>
    </row>
    <row r="1003" spans="1:9" ht="16.350000000000001" customHeight="1">
      <c r="A1003" s="43" t="s">
        <v>0</v>
      </c>
      <c r="B1003" s="7" t="s">
        <v>1</v>
      </c>
      <c r="C1003" s="8" t="s">
        <v>4</v>
      </c>
      <c r="D1003" s="7" t="s">
        <v>2</v>
      </c>
      <c r="E1003" s="7" t="s">
        <v>6</v>
      </c>
      <c r="F1003" s="128" t="s">
        <v>7</v>
      </c>
      <c r="G1003" s="129" t="s">
        <v>8</v>
      </c>
      <c r="I1003" s="110"/>
    </row>
    <row r="1004" spans="1:9" ht="16.350000000000001" customHeight="1">
      <c r="A1004" s="45">
        <v>1</v>
      </c>
      <c r="B1004" s="120" t="s">
        <v>564</v>
      </c>
      <c r="C1004" s="120" t="s">
        <v>64</v>
      </c>
      <c r="D1004" s="9"/>
      <c r="E1004" s="9"/>
      <c r="F1004" s="130">
        <f>IF(E1004="",0,IF(E1004&gt;0,RANK(E1004,$E$996:$E$1009,1)))</f>
        <v>0</v>
      </c>
      <c r="G1004" s="131">
        <f>VLOOKUP(F1004,$L$3:$M$33,2,0)</f>
        <v>0</v>
      </c>
      <c r="I1004" s="110"/>
    </row>
    <row r="1005" spans="1:9" ht="16.350000000000001" customHeight="1">
      <c r="A1005" s="45">
        <v>2</v>
      </c>
      <c r="B1005" s="127" t="s">
        <v>565</v>
      </c>
      <c r="C1005" s="120" t="s">
        <v>84</v>
      </c>
      <c r="D1005" s="9"/>
      <c r="E1005" s="9"/>
      <c r="F1005" s="130">
        <f t="shared" ref="F1005:F1009" si="197">IF(E1005="",0,IF(E1005&gt;0,RANK(E1005,$E$996:$E$1009,1)))</f>
        <v>0</v>
      </c>
      <c r="G1005" s="131">
        <f t="shared" ref="G1005:G1009" si="198">VLOOKUP(F1005,$L$3:$M$33,2,0)</f>
        <v>0</v>
      </c>
      <c r="I1005" s="110"/>
    </row>
    <row r="1006" spans="1:9" ht="16.350000000000001" customHeight="1">
      <c r="A1006" s="45">
        <v>3</v>
      </c>
      <c r="B1006" s="120" t="s">
        <v>566</v>
      </c>
      <c r="C1006" s="120" t="s">
        <v>567</v>
      </c>
      <c r="D1006" s="9"/>
      <c r="E1006" s="9"/>
      <c r="F1006" s="130">
        <f t="shared" si="197"/>
        <v>0</v>
      </c>
      <c r="G1006" s="131">
        <f t="shared" si="198"/>
        <v>0</v>
      </c>
      <c r="I1006" s="110"/>
    </row>
    <row r="1007" spans="1:9" ht="16.350000000000001" customHeight="1">
      <c r="A1007" s="45">
        <v>4</v>
      </c>
      <c r="B1007" s="127" t="s">
        <v>568</v>
      </c>
      <c r="C1007" s="120" t="s">
        <v>13</v>
      </c>
      <c r="D1007" s="9"/>
      <c r="E1007" s="9"/>
      <c r="F1007" s="130">
        <f t="shared" si="197"/>
        <v>0</v>
      </c>
      <c r="G1007" s="131">
        <f t="shared" si="198"/>
        <v>0</v>
      </c>
      <c r="I1007" s="110"/>
    </row>
    <row r="1008" spans="1:9" ht="16.350000000000001" customHeight="1">
      <c r="A1008" s="45">
        <v>5</v>
      </c>
      <c r="B1008" s="120" t="s">
        <v>569</v>
      </c>
      <c r="C1008" s="120" t="s">
        <v>88</v>
      </c>
      <c r="D1008" s="9"/>
      <c r="E1008" s="9"/>
      <c r="F1008" s="130">
        <f t="shared" si="197"/>
        <v>0</v>
      </c>
      <c r="G1008" s="131">
        <f t="shared" si="198"/>
        <v>0</v>
      </c>
      <c r="I1008" s="110"/>
    </row>
    <row r="1009" spans="1:9" ht="16.350000000000001" customHeight="1">
      <c r="A1009" s="45">
        <v>6</v>
      </c>
      <c r="B1009" s="85"/>
      <c r="C1009" s="85"/>
      <c r="D1009" s="22"/>
      <c r="E1009" s="9"/>
      <c r="F1009" s="130">
        <f t="shared" si="197"/>
        <v>0</v>
      </c>
      <c r="G1009" s="131">
        <f t="shared" si="198"/>
        <v>0</v>
      </c>
      <c r="I1009" s="110"/>
    </row>
    <row r="1010" spans="1:9" ht="16.350000000000001" customHeight="1">
      <c r="A1010" s="47" t="s">
        <v>570</v>
      </c>
      <c r="B1010" s="18"/>
      <c r="C1010" s="18"/>
      <c r="G1010" s="48"/>
      <c r="I1010" s="110"/>
    </row>
    <row r="1011" spans="1:9" ht="16.350000000000001" customHeight="1">
      <c r="A1011" s="43" t="s">
        <v>0</v>
      </c>
      <c r="B1011" s="7" t="s">
        <v>1</v>
      </c>
      <c r="C1011" s="8" t="s">
        <v>4</v>
      </c>
      <c r="D1011" s="7" t="s">
        <v>2</v>
      </c>
      <c r="E1011" s="7" t="s">
        <v>6</v>
      </c>
      <c r="F1011" s="128" t="s">
        <v>7</v>
      </c>
      <c r="G1011" s="129" t="s">
        <v>8</v>
      </c>
      <c r="I1011" s="110"/>
    </row>
    <row r="1012" spans="1:9" ht="16.350000000000001" customHeight="1">
      <c r="A1012" s="45">
        <v>1</v>
      </c>
      <c r="B1012" s="127"/>
      <c r="C1012" s="120"/>
      <c r="D1012" s="9"/>
      <c r="E1012" s="9"/>
      <c r="F1012" s="130">
        <f>IF(E1012="",0,IF(E1012&gt;0,RANK(E1012,$E$1012:$E$1025,1)))</f>
        <v>0</v>
      </c>
      <c r="G1012" s="131">
        <f>VLOOKUP(F1012,$L$3:$M$33,2,0)</f>
        <v>0</v>
      </c>
      <c r="I1012" s="110"/>
    </row>
    <row r="1013" spans="1:9" ht="16.350000000000001" customHeight="1">
      <c r="A1013" s="45">
        <v>2</v>
      </c>
      <c r="B1013" s="127" t="s">
        <v>572</v>
      </c>
      <c r="C1013" s="120" t="s">
        <v>405</v>
      </c>
      <c r="D1013" s="9"/>
      <c r="E1013" s="9"/>
      <c r="F1013" s="130">
        <f t="shared" ref="F1013:F1017" si="199">IF(E1013="",0,IF(E1013&gt;0,RANK(E1013,$E$1012:$E$1025,1)))</f>
        <v>0</v>
      </c>
      <c r="G1013" s="131">
        <f t="shared" ref="G1013:G1017" si="200">VLOOKUP(F1013,$L$3:$M$33,2,0)</f>
        <v>0</v>
      </c>
      <c r="I1013" s="110"/>
    </row>
    <row r="1014" spans="1:9" ht="16.350000000000001" customHeight="1">
      <c r="A1014" s="45">
        <v>3</v>
      </c>
      <c r="B1014" s="120" t="s">
        <v>573</v>
      </c>
      <c r="C1014" s="120" t="s">
        <v>14</v>
      </c>
      <c r="D1014" s="9"/>
      <c r="E1014" s="9"/>
      <c r="F1014" s="130">
        <f t="shared" si="199"/>
        <v>0</v>
      </c>
      <c r="G1014" s="131">
        <f t="shared" si="200"/>
        <v>0</v>
      </c>
      <c r="I1014" s="110"/>
    </row>
    <row r="1015" spans="1:9" ht="16.350000000000001" customHeight="1">
      <c r="A1015" s="45">
        <v>4</v>
      </c>
      <c r="B1015" s="120" t="s">
        <v>574</v>
      </c>
      <c r="C1015" s="120" t="s">
        <v>14</v>
      </c>
      <c r="D1015" s="9"/>
      <c r="E1015" s="9"/>
      <c r="F1015" s="130">
        <f t="shared" si="199"/>
        <v>0</v>
      </c>
      <c r="G1015" s="131">
        <f t="shared" si="200"/>
        <v>0</v>
      </c>
      <c r="I1015" s="110"/>
    </row>
    <row r="1016" spans="1:9" ht="16.350000000000001" customHeight="1">
      <c r="A1016" s="45">
        <v>5</v>
      </c>
      <c r="B1016" s="127" t="s">
        <v>476</v>
      </c>
      <c r="C1016" s="120" t="s">
        <v>13</v>
      </c>
      <c r="D1016" s="9"/>
      <c r="E1016" s="9"/>
      <c r="F1016" s="130">
        <f t="shared" si="199"/>
        <v>0</v>
      </c>
      <c r="G1016" s="131">
        <f t="shared" si="200"/>
        <v>0</v>
      </c>
      <c r="I1016" s="110"/>
    </row>
    <row r="1017" spans="1:9" ht="16.350000000000001" customHeight="1">
      <c r="A1017" s="45">
        <v>6</v>
      </c>
      <c r="B1017" s="1"/>
      <c r="C1017" s="2"/>
      <c r="D1017" s="22"/>
      <c r="E1017" s="9"/>
      <c r="F1017" s="130">
        <f t="shared" si="199"/>
        <v>0</v>
      </c>
      <c r="G1017" s="131">
        <f t="shared" si="200"/>
        <v>0</v>
      </c>
      <c r="I1017" s="110"/>
    </row>
    <row r="1018" spans="1:9" ht="16.350000000000001" customHeight="1">
      <c r="A1018" s="47" t="s">
        <v>571</v>
      </c>
      <c r="B1018" s="18"/>
      <c r="C1018" s="18"/>
      <c r="F1018" s="133"/>
      <c r="G1018" s="132"/>
      <c r="I1018" s="110"/>
    </row>
    <row r="1019" spans="1:9" ht="16.350000000000001" customHeight="1">
      <c r="A1019" s="43" t="s">
        <v>0</v>
      </c>
      <c r="B1019" s="7" t="s">
        <v>1</v>
      </c>
      <c r="C1019" s="8" t="s">
        <v>4</v>
      </c>
      <c r="D1019" s="7" t="s">
        <v>2</v>
      </c>
      <c r="E1019" s="7" t="s">
        <v>6</v>
      </c>
      <c r="F1019" s="128" t="s">
        <v>7</v>
      </c>
      <c r="G1019" s="129" t="s">
        <v>8</v>
      </c>
      <c r="I1019" s="110"/>
    </row>
    <row r="1020" spans="1:9" ht="16.350000000000001" customHeight="1">
      <c r="A1020" s="45">
        <v>1</v>
      </c>
      <c r="B1020" s="157"/>
      <c r="C1020" s="157"/>
      <c r="D1020" s="9"/>
      <c r="E1020" s="9"/>
      <c r="F1020" s="130">
        <f>IF(E1020="",0,IF(E1020&gt;0,RANK(E1020,$E$1012:$E$1025,1)))</f>
        <v>0</v>
      </c>
      <c r="G1020" s="131">
        <f>VLOOKUP(F1020,$L$3:$M$33,2,0)</f>
        <v>0</v>
      </c>
      <c r="I1020" s="110"/>
    </row>
    <row r="1021" spans="1:9" ht="16.350000000000001" customHeight="1">
      <c r="A1021" s="45">
        <v>2</v>
      </c>
      <c r="B1021" s="120" t="s">
        <v>575</v>
      </c>
      <c r="C1021" s="120" t="s">
        <v>405</v>
      </c>
      <c r="D1021" s="9"/>
      <c r="E1021" s="9"/>
      <c r="F1021" s="130">
        <f t="shared" ref="F1021:F1025" si="201">IF(E1021="",0,IF(E1021&gt;0,RANK(E1021,$E$1012:$E$1025,1)))</f>
        <v>0</v>
      </c>
      <c r="G1021" s="131">
        <f t="shared" ref="G1021:G1025" si="202">VLOOKUP(F1021,$L$3:$M$33,2,0)</f>
        <v>0</v>
      </c>
      <c r="I1021" s="110"/>
    </row>
    <row r="1022" spans="1:9" ht="16.350000000000001" customHeight="1">
      <c r="A1022" s="45">
        <v>3</v>
      </c>
      <c r="B1022" s="120" t="s">
        <v>576</v>
      </c>
      <c r="C1022" s="120" t="s">
        <v>577</v>
      </c>
      <c r="D1022" s="9"/>
      <c r="E1022" s="9"/>
      <c r="F1022" s="130">
        <f t="shared" si="201"/>
        <v>0</v>
      </c>
      <c r="G1022" s="131">
        <f t="shared" si="202"/>
        <v>0</v>
      </c>
      <c r="I1022" s="110"/>
    </row>
    <row r="1023" spans="1:9" ht="16.350000000000001" customHeight="1">
      <c r="A1023" s="45">
        <v>4</v>
      </c>
      <c r="B1023" s="120" t="s">
        <v>477</v>
      </c>
      <c r="C1023" s="120" t="s">
        <v>88</v>
      </c>
      <c r="D1023" s="9"/>
      <c r="E1023" s="9"/>
      <c r="F1023" s="130">
        <f t="shared" si="201"/>
        <v>0</v>
      </c>
      <c r="G1023" s="131">
        <f t="shared" si="202"/>
        <v>0</v>
      </c>
      <c r="I1023" s="110"/>
    </row>
    <row r="1024" spans="1:9" ht="16.350000000000001" customHeight="1">
      <c r="A1024" s="45">
        <v>5</v>
      </c>
      <c r="B1024" s="120"/>
      <c r="C1024" s="120"/>
      <c r="D1024" s="9"/>
      <c r="E1024" s="9"/>
      <c r="F1024" s="130">
        <f t="shared" si="201"/>
        <v>0</v>
      </c>
      <c r="G1024" s="131">
        <f t="shared" si="202"/>
        <v>0</v>
      </c>
      <c r="I1024" s="110"/>
    </row>
    <row r="1025" spans="1:9" ht="16.350000000000001" customHeight="1">
      <c r="A1025" s="45">
        <v>6</v>
      </c>
      <c r="B1025" s="123"/>
      <c r="C1025" s="124"/>
      <c r="D1025" s="22"/>
      <c r="E1025" s="9"/>
      <c r="F1025" s="130">
        <f t="shared" si="201"/>
        <v>0</v>
      </c>
      <c r="G1025" s="131">
        <f t="shared" si="202"/>
        <v>0</v>
      </c>
      <c r="I1025" s="110"/>
    </row>
    <row r="1026" spans="1:9" ht="16.350000000000001" customHeight="1">
      <c r="A1026" s="47" t="s">
        <v>579</v>
      </c>
      <c r="B1026" s="5"/>
      <c r="C1026" s="6"/>
      <c r="G1026" s="48"/>
    </row>
    <row r="1027" spans="1:9" ht="16.350000000000001" customHeight="1">
      <c r="A1027" s="43" t="s">
        <v>0</v>
      </c>
      <c r="B1027" s="7" t="s">
        <v>1</v>
      </c>
      <c r="C1027" s="8" t="s">
        <v>4</v>
      </c>
      <c r="D1027" s="7" t="s">
        <v>2</v>
      </c>
      <c r="E1027" s="7" t="s">
        <v>6</v>
      </c>
      <c r="F1027" s="128" t="s">
        <v>7</v>
      </c>
      <c r="G1027" s="129" t="s">
        <v>8</v>
      </c>
      <c r="I1027" s="110"/>
    </row>
    <row r="1028" spans="1:9" ht="16.350000000000001" customHeight="1">
      <c r="A1028" s="45">
        <v>1</v>
      </c>
      <c r="B1028" s="127" t="s">
        <v>581</v>
      </c>
      <c r="C1028" s="120" t="s">
        <v>582</v>
      </c>
      <c r="D1028" s="36"/>
      <c r="E1028" s="11"/>
      <c r="F1028" s="130">
        <f t="shared" ref="F1028:F1033" si="203">IF(E1028="",0,IF(E1028&gt;0,RANK(E1028,$E$1028:$E$1049,1)))</f>
        <v>0</v>
      </c>
      <c r="G1028" s="131">
        <f>VLOOKUP(F1028,$L$3:$M$33,2,0)</f>
        <v>0</v>
      </c>
      <c r="I1028" s="110"/>
    </row>
    <row r="1029" spans="1:9" ht="16.350000000000001" customHeight="1">
      <c r="A1029" s="45">
        <v>2</v>
      </c>
      <c r="B1029" s="127" t="s">
        <v>583</v>
      </c>
      <c r="C1029" s="120" t="s">
        <v>13</v>
      </c>
      <c r="D1029" s="36"/>
      <c r="E1029" s="11"/>
      <c r="F1029" s="130">
        <f t="shared" si="203"/>
        <v>0</v>
      </c>
      <c r="G1029" s="131">
        <f t="shared" ref="G1029:G1033" si="204">VLOOKUP(F1029,$L$3:$M$33,2,0)</f>
        <v>0</v>
      </c>
      <c r="I1029" s="110"/>
    </row>
    <row r="1030" spans="1:9" ht="16.350000000000001" customHeight="1">
      <c r="A1030" s="45">
        <v>3</v>
      </c>
      <c r="B1030" s="120" t="s">
        <v>584</v>
      </c>
      <c r="C1030" s="120" t="s">
        <v>13</v>
      </c>
      <c r="D1030" s="36"/>
      <c r="E1030" s="11"/>
      <c r="F1030" s="130">
        <f t="shared" si="203"/>
        <v>0</v>
      </c>
      <c r="G1030" s="131">
        <f t="shared" si="204"/>
        <v>0</v>
      </c>
      <c r="I1030" s="110"/>
    </row>
    <row r="1031" spans="1:9" ht="16.350000000000001" customHeight="1">
      <c r="A1031" s="45">
        <v>4</v>
      </c>
      <c r="B1031" s="120" t="s">
        <v>585</v>
      </c>
      <c r="C1031" s="120" t="s">
        <v>88</v>
      </c>
      <c r="D1031" s="36"/>
      <c r="E1031" s="11"/>
      <c r="F1031" s="130">
        <f t="shared" si="203"/>
        <v>0</v>
      </c>
      <c r="G1031" s="131">
        <f t="shared" si="204"/>
        <v>0</v>
      </c>
      <c r="I1031" s="110"/>
    </row>
    <row r="1032" spans="1:9" ht="16.350000000000001" customHeight="1">
      <c r="A1032" s="45">
        <v>5</v>
      </c>
      <c r="B1032" s="120" t="s">
        <v>587</v>
      </c>
      <c r="C1032" s="120" t="s">
        <v>88</v>
      </c>
      <c r="D1032" s="37"/>
      <c r="E1032" s="11"/>
      <c r="F1032" s="130">
        <f t="shared" si="203"/>
        <v>0</v>
      </c>
      <c r="G1032" s="131">
        <f t="shared" si="204"/>
        <v>0</v>
      </c>
      <c r="I1032" s="110"/>
    </row>
    <row r="1033" spans="1:9" ht="16.350000000000001" customHeight="1">
      <c r="A1033" s="45">
        <v>6</v>
      </c>
      <c r="B1033" s="120"/>
      <c r="C1033" s="120"/>
      <c r="D1033" s="9"/>
      <c r="E1033" s="11"/>
      <c r="F1033" s="130">
        <f t="shared" si="203"/>
        <v>0</v>
      </c>
      <c r="G1033" s="131">
        <f t="shared" si="204"/>
        <v>0</v>
      </c>
      <c r="I1033" s="110"/>
    </row>
    <row r="1034" spans="1:9" ht="16.350000000000001" customHeight="1">
      <c r="A1034" s="47" t="s">
        <v>580</v>
      </c>
      <c r="B1034" s="5"/>
      <c r="C1034" s="6"/>
      <c r="F1034" s="133"/>
      <c r="G1034" s="132"/>
      <c r="I1034" s="110"/>
    </row>
    <row r="1035" spans="1:9" ht="16.350000000000001" customHeight="1">
      <c r="A1035" s="43" t="s">
        <v>0</v>
      </c>
      <c r="B1035" s="7" t="s">
        <v>1</v>
      </c>
      <c r="C1035" s="8" t="s">
        <v>4</v>
      </c>
      <c r="D1035" s="7" t="s">
        <v>2</v>
      </c>
      <c r="E1035" s="7" t="s">
        <v>6</v>
      </c>
      <c r="F1035" s="128" t="s">
        <v>7</v>
      </c>
      <c r="G1035" s="129" t="s">
        <v>8</v>
      </c>
      <c r="I1035" s="110"/>
    </row>
    <row r="1036" spans="1:9" ht="16.350000000000001" customHeight="1">
      <c r="A1036" s="45">
        <v>1</v>
      </c>
      <c r="B1036" s="120"/>
      <c r="C1036" s="120"/>
      <c r="D1036" s="15"/>
      <c r="E1036" s="11"/>
      <c r="F1036" s="130">
        <f t="shared" ref="F1036:F1041" si="205">IF(E1036="",0,IF(E1036&gt;0,RANK(E1036,$E$1028:$E$1049,1)))</f>
        <v>0</v>
      </c>
      <c r="G1036" s="131">
        <f>VLOOKUP(F1036,$L$3:$M$33,2,0)</f>
        <v>0</v>
      </c>
      <c r="I1036" s="110"/>
    </row>
    <row r="1037" spans="1:9" ht="16.350000000000001" customHeight="1">
      <c r="A1037" s="45">
        <v>2</v>
      </c>
      <c r="B1037" s="120" t="s">
        <v>590</v>
      </c>
      <c r="C1037" s="120" t="s">
        <v>407</v>
      </c>
      <c r="D1037" s="15"/>
      <c r="E1037" s="11"/>
      <c r="F1037" s="130">
        <f t="shared" si="205"/>
        <v>0</v>
      </c>
      <c r="G1037" s="131">
        <f t="shared" ref="G1037:G1041" si="206">VLOOKUP(F1037,$L$3:$M$33,2,0)</f>
        <v>0</v>
      </c>
      <c r="I1037" s="110"/>
    </row>
    <row r="1038" spans="1:9" ht="16.350000000000001" customHeight="1">
      <c r="A1038" s="45">
        <v>3</v>
      </c>
      <c r="B1038" s="120" t="s">
        <v>591</v>
      </c>
      <c r="C1038" s="120" t="s">
        <v>84</v>
      </c>
      <c r="D1038" s="15"/>
      <c r="E1038" s="11"/>
      <c r="F1038" s="130">
        <f t="shared" si="205"/>
        <v>0</v>
      </c>
      <c r="G1038" s="131">
        <f t="shared" si="206"/>
        <v>0</v>
      </c>
      <c r="I1038" s="110"/>
    </row>
    <row r="1039" spans="1:9" ht="16.350000000000001" customHeight="1">
      <c r="A1039" s="45">
        <v>4</v>
      </c>
      <c r="B1039" s="126" t="s">
        <v>592</v>
      </c>
      <c r="C1039" s="120" t="s">
        <v>551</v>
      </c>
      <c r="D1039" s="15"/>
      <c r="E1039" s="11"/>
      <c r="F1039" s="130">
        <f t="shared" si="205"/>
        <v>0</v>
      </c>
      <c r="G1039" s="131">
        <f t="shared" si="206"/>
        <v>0</v>
      </c>
      <c r="I1039" s="110"/>
    </row>
    <row r="1040" spans="1:9" ht="16.350000000000001" customHeight="1">
      <c r="A1040" s="45">
        <v>5</v>
      </c>
      <c r="B1040" s="127" t="s">
        <v>481</v>
      </c>
      <c r="C1040" s="120" t="s">
        <v>13</v>
      </c>
      <c r="D1040" s="33"/>
      <c r="E1040" s="11"/>
      <c r="F1040" s="130">
        <f t="shared" si="205"/>
        <v>0</v>
      </c>
      <c r="G1040" s="131">
        <f t="shared" si="206"/>
        <v>0</v>
      </c>
      <c r="I1040" s="110"/>
    </row>
    <row r="1041" spans="1:9" ht="16.350000000000001" customHeight="1">
      <c r="A1041" s="45">
        <v>6</v>
      </c>
      <c r="B1041" s="127"/>
      <c r="C1041" s="120"/>
      <c r="D1041" s="9"/>
      <c r="E1041" s="11"/>
      <c r="F1041" s="130">
        <f t="shared" si="205"/>
        <v>0</v>
      </c>
      <c r="G1041" s="131">
        <f t="shared" si="206"/>
        <v>0</v>
      </c>
      <c r="I1041" s="110"/>
    </row>
    <row r="1042" spans="1:9" ht="16.350000000000001" customHeight="1">
      <c r="A1042" s="47" t="s">
        <v>593</v>
      </c>
      <c r="B1042" s="5"/>
      <c r="C1042" s="6"/>
      <c r="F1042" s="133"/>
      <c r="G1042" s="132"/>
      <c r="I1042" s="110"/>
    </row>
    <row r="1043" spans="1:9" ht="16.350000000000001" customHeight="1">
      <c r="A1043" s="43" t="s">
        <v>0</v>
      </c>
      <c r="B1043" s="7" t="s">
        <v>1</v>
      </c>
      <c r="C1043" s="8" t="s">
        <v>4</v>
      </c>
      <c r="D1043" s="7" t="s">
        <v>2</v>
      </c>
      <c r="E1043" s="7" t="s">
        <v>6</v>
      </c>
      <c r="F1043" s="128" t="s">
        <v>7</v>
      </c>
      <c r="G1043" s="129" t="s">
        <v>8</v>
      </c>
      <c r="I1043" s="110"/>
    </row>
    <row r="1044" spans="1:9" ht="16.350000000000001" customHeight="1">
      <c r="A1044" s="45">
        <v>1</v>
      </c>
      <c r="B1044" s="127"/>
      <c r="C1044" s="120"/>
      <c r="D1044" s="15"/>
      <c r="E1044" s="11"/>
      <c r="F1044" s="130">
        <f t="shared" ref="F1044:F1049" si="207">IF(E1044="",0,IF(E1044&gt;0,RANK(E1044,$E$1028:$E$1049,1)))</f>
        <v>0</v>
      </c>
      <c r="G1044" s="131">
        <f>VLOOKUP(F1044,$L$3:$M$33,2,0)</f>
        <v>0</v>
      </c>
      <c r="I1044" s="110"/>
    </row>
    <row r="1045" spans="1:9" ht="16.350000000000001" customHeight="1">
      <c r="A1045" s="45">
        <v>2</v>
      </c>
      <c r="B1045" s="127" t="s">
        <v>594</v>
      </c>
      <c r="C1045" s="120" t="s">
        <v>13</v>
      </c>
      <c r="D1045" s="15"/>
      <c r="E1045" s="11"/>
      <c r="F1045" s="130">
        <f t="shared" si="207"/>
        <v>0</v>
      </c>
      <c r="G1045" s="131">
        <f t="shared" ref="G1045:G1049" si="208">VLOOKUP(F1045,$L$3:$M$33,2,0)</f>
        <v>0</v>
      </c>
      <c r="I1045" s="110"/>
    </row>
    <row r="1046" spans="1:9" ht="16.350000000000001" customHeight="1">
      <c r="A1046" s="45">
        <v>3</v>
      </c>
      <c r="B1046" s="120" t="s">
        <v>588</v>
      </c>
      <c r="C1046" s="120" t="s">
        <v>14</v>
      </c>
      <c r="D1046" s="15"/>
      <c r="E1046" s="11"/>
      <c r="F1046" s="130">
        <f t="shared" si="207"/>
        <v>0</v>
      </c>
      <c r="G1046" s="131">
        <f t="shared" si="208"/>
        <v>0</v>
      </c>
      <c r="I1046" s="110"/>
    </row>
    <row r="1047" spans="1:9" ht="16.350000000000001" customHeight="1">
      <c r="A1047" s="45">
        <v>4</v>
      </c>
      <c r="B1047" s="120" t="s">
        <v>589</v>
      </c>
      <c r="C1047" s="120" t="s">
        <v>14</v>
      </c>
      <c r="D1047" s="15"/>
      <c r="E1047" s="11"/>
      <c r="F1047" s="130">
        <f t="shared" si="207"/>
        <v>0</v>
      </c>
      <c r="G1047" s="131">
        <f t="shared" si="208"/>
        <v>0</v>
      </c>
      <c r="I1047" s="110"/>
    </row>
    <row r="1048" spans="1:9" ht="16.350000000000001" customHeight="1">
      <c r="A1048" s="45">
        <v>5</v>
      </c>
      <c r="B1048" s="127" t="s">
        <v>586</v>
      </c>
      <c r="C1048" s="120" t="s">
        <v>13</v>
      </c>
      <c r="D1048" s="33"/>
      <c r="E1048" s="11"/>
      <c r="F1048" s="130">
        <f t="shared" si="207"/>
        <v>0</v>
      </c>
      <c r="G1048" s="131">
        <f t="shared" si="208"/>
        <v>0</v>
      </c>
      <c r="I1048" s="110"/>
    </row>
    <row r="1049" spans="1:9" ht="16.350000000000001" customHeight="1">
      <c r="A1049" s="45">
        <v>6</v>
      </c>
      <c r="B1049" s="85"/>
      <c r="C1049" s="85"/>
      <c r="D1049" s="9"/>
      <c r="E1049" s="11"/>
      <c r="F1049" s="130">
        <f t="shared" si="207"/>
        <v>0</v>
      </c>
      <c r="G1049" s="131">
        <f t="shared" si="208"/>
        <v>0</v>
      </c>
      <c r="I1049" s="110"/>
    </row>
    <row r="1050" spans="1:9" ht="16.350000000000001" customHeight="1">
      <c r="A1050" s="47" t="s">
        <v>595</v>
      </c>
      <c r="B1050" s="5"/>
      <c r="C1050" s="6"/>
      <c r="G1050" s="48"/>
    </row>
    <row r="1051" spans="1:9" ht="16.350000000000001" customHeight="1">
      <c r="A1051" s="43" t="s">
        <v>0</v>
      </c>
      <c r="B1051" s="7" t="s">
        <v>1</v>
      </c>
      <c r="C1051" s="8" t="s">
        <v>4</v>
      </c>
      <c r="D1051" s="7" t="s">
        <v>2</v>
      </c>
      <c r="E1051" s="7" t="s">
        <v>6</v>
      </c>
      <c r="F1051" s="128" t="s">
        <v>7</v>
      </c>
      <c r="G1051" s="129" t="s">
        <v>8</v>
      </c>
      <c r="I1051" s="110"/>
    </row>
    <row r="1052" spans="1:9" ht="16.350000000000001" customHeight="1">
      <c r="A1052" s="45">
        <v>1</v>
      </c>
      <c r="B1052" s="120"/>
      <c r="C1052" s="125"/>
      <c r="D1052" s="15"/>
      <c r="E1052" s="11"/>
      <c r="F1052" s="130">
        <f t="shared" ref="F1052:F1057" si="209">IF(E1052="",0,IF(E1052&gt;0,RANK(E1052,$E$1052:$E$1065,1)))</f>
        <v>0</v>
      </c>
      <c r="G1052" s="131">
        <f>VLOOKUP(F1052,$L$3:$M$33,2,0)</f>
        <v>0</v>
      </c>
      <c r="I1052" s="110"/>
    </row>
    <row r="1053" spans="1:9" ht="16.350000000000001" customHeight="1">
      <c r="A1053" s="45">
        <v>2</v>
      </c>
      <c r="B1053" s="120" t="s">
        <v>596</v>
      </c>
      <c r="C1053" s="125" t="s">
        <v>53</v>
      </c>
      <c r="D1053" s="15"/>
      <c r="E1053" s="11"/>
      <c r="F1053" s="130">
        <f t="shared" si="209"/>
        <v>0</v>
      </c>
      <c r="G1053" s="131">
        <f t="shared" ref="G1053:G1057" si="210">VLOOKUP(F1053,$L$3:$M$33,2,0)</f>
        <v>0</v>
      </c>
      <c r="I1053" s="110"/>
    </row>
    <row r="1054" spans="1:9" ht="16.350000000000001" customHeight="1">
      <c r="A1054" s="45">
        <v>3</v>
      </c>
      <c r="B1054" s="120" t="s">
        <v>597</v>
      </c>
      <c r="C1054" s="120" t="s">
        <v>14</v>
      </c>
      <c r="D1054" s="15"/>
      <c r="E1054" s="11"/>
      <c r="F1054" s="130">
        <f t="shared" si="209"/>
        <v>0</v>
      </c>
      <c r="G1054" s="131">
        <f t="shared" si="210"/>
        <v>0</v>
      </c>
      <c r="I1054" s="110"/>
    </row>
    <row r="1055" spans="1:9" ht="16.350000000000001" customHeight="1">
      <c r="A1055" s="45">
        <v>4</v>
      </c>
      <c r="B1055" s="120" t="s">
        <v>598</v>
      </c>
      <c r="C1055" s="120" t="s">
        <v>407</v>
      </c>
      <c r="D1055" s="75"/>
      <c r="E1055" s="11"/>
      <c r="F1055" s="130">
        <f t="shared" si="209"/>
        <v>0</v>
      </c>
      <c r="G1055" s="131">
        <f t="shared" si="210"/>
        <v>0</v>
      </c>
      <c r="I1055" s="110"/>
    </row>
    <row r="1056" spans="1:9" ht="16.350000000000001" customHeight="1">
      <c r="A1056" s="45">
        <v>5</v>
      </c>
      <c r="B1056" s="120" t="s">
        <v>601</v>
      </c>
      <c r="C1056" s="120" t="s">
        <v>602</v>
      </c>
      <c r="D1056" s="33"/>
      <c r="E1056" s="11"/>
      <c r="F1056" s="130">
        <f t="shared" si="209"/>
        <v>0</v>
      </c>
      <c r="G1056" s="131">
        <f t="shared" si="210"/>
        <v>0</v>
      </c>
      <c r="I1056" s="110"/>
    </row>
    <row r="1057" spans="1:9" ht="16.350000000000001" customHeight="1">
      <c r="A1057" s="45">
        <v>6</v>
      </c>
      <c r="B1057" s="85"/>
      <c r="C1057" s="85"/>
      <c r="D1057" s="9"/>
      <c r="E1057" s="11"/>
      <c r="F1057" s="130">
        <f t="shared" si="209"/>
        <v>0</v>
      </c>
      <c r="G1057" s="131">
        <f t="shared" si="210"/>
        <v>0</v>
      </c>
      <c r="I1057" s="110"/>
    </row>
    <row r="1058" spans="1:9" s="35" customFormat="1" ht="16.350000000000001" customHeight="1">
      <c r="A1058" s="47" t="s">
        <v>600</v>
      </c>
      <c r="B1058" s="5"/>
      <c r="C1058" s="6"/>
      <c r="D1058" s="38"/>
      <c r="E1058" s="38"/>
      <c r="F1058" s="133"/>
      <c r="G1058" s="132"/>
      <c r="I1058" s="110"/>
    </row>
    <row r="1059" spans="1:9" ht="16.350000000000001" customHeight="1">
      <c r="A1059" s="43" t="s">
        <v>0</v>
      </c>
      <c r="B1059" s="7" t="s">
        <v>1</v>
      </c>
      <c r="C1059" s="8" t="s">
        <v>4</v>
      </c>
      <c r="D1059" s="7" t="s">
        <v>2</v>
      </c>
      <c r="E1059" s="7" t="s">
        <v>6</v>
      </c>
      <c r="F1059" s="128" t="s">
        <v>7</v>
      </c>
      <c r="G1059" s="129" t="s">
        <v>8</v>
      </c>
      <c r="I1059" s="110"/>
    </row>
    <row r="1060" spans="1:9" ht="16.350000000000001" customHeight="1">
      <c r="A1060" s="45">
        <v>1</v>
      </c>
      <c r="B1060" s="120" t="s">
        <v>488</v>
      </c>
      <c r="C1060" s="120" t="s">
        <v>407</v>
      </c>
      <c r="D1060" s="9"/>
      <c r="E1060" s="9"/>
      <c r="F1060" s="130">
        <f t="shared" ref="F1060:F1065" si="211">IF(E1060="",0,IF(E1060&gt;0,RANK(E1060,$E$1052:$E$1065,1)))</f>
        <v>0</v>
      </c>
      <c r="G1060" s="131">
        <f>VLOOKUP(F1060,$L$3:$M$33,2,0)</f>
        <v>0</v>
      </c>
      <c r="I1060" s="110"/>
    </row>
    <row r="1061" spans="1:9" ht="16.350000000000001" customHeight="1">
      <c r="A1061" s="45">
        <v>2</v>
      </c>
      <c r="B1061" s="120" t="s">
        <v>603</v>
      </c>
      <c r="C1061" s="120" t="s">
        <v>444</v>
      </c>
      <c r="D1061" s="9"/>
      <c r="E1061" s="9"/>
      <c r="F1061" s="130">
        <f t="shared" si="211"/>
        <v>0</v>
      </c>
      <c r="G1061" s="131">
        <f t="shared" ref="G1061:G1065" si="212">VLOOKUP(F1061,$L$3:$M$33,2,0)</f>
        <v>0</v>
      </c>
      <c r="I1061" s="110"/>
    </row>
    <row r="1062" spans="1:9" ht="16.350000000000001" customHeight="1">
      <c r="A1062" s="45">
        <v>3</v>
      </c>
      <c r="B1062" s="120" t="s">
        <v>604</v>
      </c>
      <c r="C1062" s="120" t="s">
        <v>407</v>
      </c>
      <c r="D1062" s="9"/>
      <c r="E1062" s="9"/>
      <c r="F1062" s="130">
        <f t="shared" si="211"/>
        <v>0</v>
      </c>
      <c r="G1062" s="131">
        <f t="shared" si="212"/>
        <v>0</v>
      </c>
      <c r="I1062" s="110"/>
    </row>
    <row r="1063" spans="1:9" ht="16.350000000000001" customHeight="1">
      <c r="A1063" s="45">
        <v>4</v>
      </c>
      <c r="B1063" s="120" t="s">
        <v>605</v>
      </c>
      <c r="C1063" s="120" t="s">
        <v>88</v>
      </c>
      <c r="D1063" s="9"/>
      <c r="E1063" s="9"/>
      <c r="F1063" s="130">
        <f t="shared" si="211"/>
        <v>0</v>
      </c>
      <c r="G1063" s="131">
        <f t="shared" si="212"/>
        <v>0</v>
      </c>
      <c r="I1063" s="110"/>
    </row>
    <row r="1064" spans="1:9" ht="16.350000000000001" customHeight="1">
      <c r="A1064" s="45">
        <v>5</v>
      </c>
      <c r="B1064" s="120" t="s">
        <v>599</v>
      </c>
      <c r="C1064" s="120" t="s">
        <v>551</v>
      </c>
      <c r="D1064" s="9"/>
      <c r="E1064" s="9"/>
      <c r="F1064" s="130">
        <f t="shared" si="211"/>
        <v>0</v>
      </c>
      <c r="G1064" s="131">
        <f t="shared" si="212"/>
        <v>0</v>
      </c>
      <c r="I1064" s="110"/>
    </row>
    <row r="1065" spans="1:9" ht="16.350000000000001" customHeight="1">
      <c r="A1065" s="45">
        <v>6</v>
      </c>
      <c r="B1065" s="120"/>
      <c r="C1065" s="120"/>
      <c r="D1065" s="9"/>
      <c r="E1065" s="9"/>
      <c r="F1065" s="130">
        <f t="shared" si="211"/>
        <v>0</v>
      </c>
      <c r="G1065" s="131">
        <f t="shared" si="212"/>
        <v>0</v>
      </c>
      <c r="I1065" s="110"/>
    </row>
    <row r="1066" spans="1:9" s="35" customFormat="1" ht="16.350000000000001" customHeight="1">
      <c r="A1066" s="47" t="s">
        <v>606</v>
      </c>
      <c r="B1066" s="5"/>
      <c r="C1066" s="6"/>
      <c r="D1066" s="38"/>
      <c r="E1066" s="38"/>
      <c r="F1066" s="38"/>
      <c r="G1066" s="49"/>
    </row>
    <row r="1067" spans="1:9" ht="16.350000000000001" customHeight="1">
      <c r="A1067" s="43" t="s">
        <v>0</v>
      </c>
      <c r="B1067" s="7" t="s">
        <v>1</v>
      </c>
      <c r="C1067" s="8" t="s">
        <v>4</v>
      </c>
      <c r="D1067" s="7" t="s">
        <v>2</v>
      </c>
      <c r="E1067" s="7" t="s">
        <v>6</v>
      </c>
      <c r="F1067" s="7" t="s">
        <v>7</v>
      </c>
      <c r="G1067" s="44" t="s">
        <v>8</v>
      </c>
    </row>
    <row r="1068" spans="1:9" ht="16.350000000000001" customHeight="1">
      <c r="A1068" s="45">
        <v>1</v>
      </c>
      <c r="B1068" s="90"/>
      <c r="C1068" s="23"/>
      <c r="D1068" s="9"/>
      <c r="E1068" s="9"/>
      <c r="F1068" s="10">
        <f>IF(E1068="",0,IF(E1068&gt;0,RANK(E1068,E1068:E1073,1)))</f>
        <v>0</v>
      </c>
      <c r="G1068" s="46">
        <f>VLOOKUP(F1068,$L$3:$M$33,2,0)</f>
        <v>0</v>
      </c>
    </row>
    <row r="1069" spans="1:9" ht="16.350000000000001" customHeight="1">
      <c r="A1069" s="45">
        <v>2</v>
      </c>
      <c r="B1069" s="85"/>
      <c r="C1069" s="85"/>
      <c r="D1069" s="9"/>
      <c r="E1069" s="9"/>
      <c r="F1069" s="10">
        <f>IF(E1069="",0,IF(E1069&gt;0,RANK(E1069,E1068:E1073,1)))</f>
        <v>0</v>
      </c>
      <c r="G1069" s="46">
        <f t="shared" ref="G1069:G1073" si="213">VLOOKUP(F1069,$L$3:$M$33,2,0)</f>
        <v>0</v>
      </c>
    </row>
    <row r="1070" spans="1:9" ht="16.350000000000001" customHeight="1">
      <c r="A1070" s="45">
        <v>3</v>
      </c>
      <c r="B1070" s="120" t="s">
        <v>607</v>
      </c>
      <c r="C1070" s="120" t="s">
        <v>64</v>
      </c>
      <c r="D1070" s="9"/>
      <c r="E1070" s="9"/>
      <c r="F1070" s="10">
        <f>IF(E1070="",0,IF(E1070&gt;0,RANK(E1070,E1068:E1073,1)))</f>
        <v>0</v>
      </c>
      <c r="G1070" s="46">
        <f t="shared" si="213"/>
        <v>0</v>
      </c>
    </row>
    <row r="1071" spans="1:9" ht="16.350000000000001" customHeight="1">
      <c r="A1071" s="45">
        <v>4</v>
      </c>
      <c r="B1071" s="85"/>
      <c r="C1071" s="85"/>
      <c r="D1071" s="9"/>
      <c r="E1071" s="9"/>
      <c r="F1071" s="10">
        <f>IF(E1071="",0,IF(E1071&gt;0,RANK(E1071,E1068:E1073,1)))</f>
        <v>0</v>
      </c>
      <c r="G1071" s="46">
        <f t="shared" si="213"/>
        <v>0</v>
      </c>
    </row>
    <row r="1072" spans="1:9" ht="16.350000000000001" customHeight="1">
      <c r="A1072" s="45">
        <v>5</v>
      </c>
      <c r="B1072" s="74"/>
      <c r="C1072" s="74"/>
      <c r="D1072" s="9"/>
      <c r="E1072" s="9"/>
      <c r="F1072" s="10">
        <f>IF(E1072="",0,IF(E1072&gt;0,RANK(E1072,E1068:E1073,1)))</f>
        <v>0</v>
      </c>
      <c r="G1072" s="46">
        <f t="shared" si="213"/>
        <v>0</v>
      </c>
    </row>
    <row r="1073" spans="1:9" ht="16.350000000000001" customHeight="1">
      <c r="A1073" s="45">
        <v>6</v>
      </c>
      <c r="B1073" s="90"/>
      <c r="C1073" s="23"/>
      <c r="D1073" s="9"/>
      <c r="E1073" s="9"/>
      <c r="F1073" s="10">
        <f>IF(E1073="",0,IF(E1073&gt;0,RANK(E1073,E1068:E1073,1)))</f>
        <v>0</v>
      </c>
      <c r="G1073" s="46">
        <f t="shared" si="213"/>
        <v>0</v>
      </c>
    </row>
    <row r="1074" spans="1:9" ht="16.350000000000001" customHeight="1">
      <c r="A1074" s="47" t="s">
        <v>608</v>
      </c>
      <c r="B1074" s="5"/>
      <c r="C1074" s="6"/>
      <c r="G1074" s="48"/>
    </row>
    <row r="1075" spans="1:9" ht="16.350000000000001" customHeight="1">
      <c r="A1075" s="43" t="s">
        <v>0</v>
      </c>
      <c r="B1075" s="7" t="s">
        <v>1</v>
      </c>
      <c r="C1075" s="8" t="s">
        <v>4</v>
      </c>
      <c r="D1075" s="7" t="s">
        <v>2</v>
      </c>
      <c r="E1075" s="7" t="s">
        <v>6</v>
      </c>
      <c r="F1075" s="128" t="s">
        <v>7</v>
      </c>
      <c r="G1075" s="129" t="s">
        <v>8</v>
      </c>
    </row>
    <row r="1076" spans="1:9" ht="16.350000000000001" customHeight="1">
      <c r="A1076" s="45">
        <v>1</v>
      </c>
      <c r="B1076" s="127" t="s">
        <v>610</v>
      </c>
      <c r="C1076" s="120" t="s">
        <v>64</v>
      </c>
      <c r="D1076" s="9"/>
      <c r="E1076" s="9"/>
      <c r="F1076" s="130">
        <f>IF(E1076="",0,IF(E1076&gt;0,RANK(E1076,E1076:E1089,1)))</f>
        <v>0</v>
      </c>
      <c r="G1076" s="131">
        <f>VLOOKUP(F1076,$L$3:$M$33,2,0)</f>
        <v>0</v>
      </c>
    </row>
    <row r="1077" spans="1:9" ht="16.350000000000001" customHeight="1">
      <c r="A1077" s="45">
        <v>2</v>
      </c>
      <c r="B1077" s="120" t="s">
        <v>611</v>
      </c>
      <c r="C1077" s="120" t="s">
        <v>64</v>
      </c>
      <c r="D1077" s="9"/>
      <c r="E1077" s="9"/>
      <c r="F1077" s="130">
        <f>IF(E1077="",0,IF(E1077&gt;0,RANK(E1077,E1076:E1089,1)))</f>
        <v>0</v>
      </c>
      <c r="G1077" s="131">
        <f t="shared" ref="G1077:G1081" si="214">VLOOKUP(F1077,$L$3:$M$33,2,0)</f>
        <v>0</v>
      </c>
    </row>
    <row r="1078" spans="1:9" ht="16.350000000000001" customHeight="1">
      <c r="A1078" s="45">
        <v>3</v>
      </c>
      <c r="B1078" s="127" t="s">
        <v>612</v>
      </c>
      <c r="C1078" s="120" t="s">
        <v>269</v>
      </c>
      <c r="D1078" s="9"/>
      <c r="E1078" s="9"/>
      <c r="F1078" s="130">
        <f>IF(E1078="",0,IF(E1078&gt;0,RANK(E1078,E1076:E1089,1)))</f>
        <v>0</v>
      </c>
      <c r="G1078" s="131">
        <f t="shared" si="214"/>
        <v>0</v>
      </c>
    </row>
    <row r="1079" spans="1:9" ht="16.350000000000001" customHeight="1">
      <c r="A1079" s="45">
        <v>4</v>
      </c>
      <c r="B1079" s="127" t="s">
        <v>613</v>
      </c>
      <c r="C1079" s="120" t="s">
        <v>269</v>
      </c>
      <c r="D1079" s="9"/>
      <c r="E1079" s="9"/>
      <c r="F1079" s="130">
        <f>IF(E1079="",0,IF(E1079&gt;0,RANK(E1079,E1076:E1089,1)))</f>
        <v>0</v>
      </c>
      <c r="G1079" s="131">
        <f t="shared" si="214"/>
        <v>0</v>
      </c>
    </row>
    <row r="1080" spans="1:9" ht="16.350000000000001" customHeight="1">
      <c r="A1080" s="45">
        <v>5</v>
      </c>
      <c r="B1080" s="120" t="s">
        <v>614</v>
      </c>
      <c r="C1080" s="120" t="s">
        <v>88</v>
      </c>
      <c r="D1080" s="9"/>
      <c r="E1080" s="9"/>
      <c r="F1080" s="130">
        <f>IF(E1080="",0,IF(E1080&gt;0,RANK(E1080,E1076:E1089,1)))</f>
        <v>0</v>
      </c>
      <c r="G1080" s="131">
        <f t="shared" si="214"/>
        <v>0</v>
      </c>
    </row>
    <row r="1081" spans="1:9" ht="16.350000000000001" customHeight="1">
      <c r="A1081" s="45">
        <v>6</v>
      </c>
      <c r="B1081" s="120"/>
      <c r="C1081" s="120"/>
      <c r="D1081" s="9"/>
      <c r="E1081" s="9"/>
      <c r="F1081" s="130">
        <f>IF(E1081="",0,IF(E1081&gt;0,RANK(E1081,E1076:E1089,1)))</f>
        <v>0</v>
      </c>
      <c r="G1081" s="131">
        <f t="shared" si="214"/>
        <v>0</v>
      </c>
    </row>
    <row r="1082" spans="1:9" ht="16.350000000000001" customHeight="1">
      <c r="A1082" s="47" t="s">
        <v>609</v>
      </c>
      <c r="B1082" s="5"/>
      <c r="C1082" s="6"/>
      <c r="D1082" s="14"/>
      <c r="E1082" s="14"/>
      <c r="F1082" s="144"/>
      <c r="G1082" s="145"/>
    </row>
    <row r="1083" spans="1:9" ht="16.350000000000001" customHeight="1">
      <c r="A1083" s="43" t="s">
        <v>0</v>
      </c>
      <c r="B1083" s="7" t="s">
        <v>1</v>
      </c>
      <c r="C1083" s="8" t="s">
        <v>4</v>
      </c>
      <c r="D1083" s="7" t="s">
        <v>2</v>
      </c>
      <c r="E1083" s="7" t="s">
        <v>6</v>
      </c>
      <c r="F1083" s="128" t="s">
        <v>7</v>
      </c>
      <c r="G1083" s="129" t="s">
        <v>8</v>
      </c>
      <c r="I1083" s="110"/>
    </row>
    <row r="1084" spans="1:9" ht="16.350000000000001" customHeight="1">
      <c r="A1084" s="45">
        <v>1</v>
      </c>
      <c r="B1084" s="85"/>
      <c r="C1084" s="85"/>
      <c r="D1084" s="9"/>
      <c r="E1084" s="9"/>
      <c r="F1084" s="130">
        <f>IF(E1084="",0,IF(E1084&gt;0,RANK(E1084,$E$1076:$E$1089,1)))</f>
        <v>0</v>
      </c>
      <c r="G1084" s="131">
        <f>VLOOKUP(F1084,$L$3:$M$33,2,0)</f>
        <v>0</v>
      </c>
      <c r="I1084" s="110"/>
    </row>
    <row r="1085" spans="1:9" ht="16.350000000000001" customHeight="1">
      <c r="A1085" s="45">
        <v>2</v>
      </c>
      <c r="B1085" s="120" t="s">
        <v>615</v>
      </c>
      <c r="C1085" s="120" t="s">
        <v>60</v>
      </c>
      <c r="D1085" s="9"/>
      <c r="E1085" s="9"/>
      <c r="F1085" s="130">
        <f t="shared" ref="F1085:F1089" si="215">IF(E1085="",0,IF(E1085&gt;0,RANK(E1085,$E$1076:$E$1089,1)))</f>
        <v>0</v>
      </c>
      <c r="G1085" s="131">
        <f t="shared" ref="G1085:G1089" si="216">VLOOKUP(F1085,$L$3:$M$33,2,0)</f>
        <v>0</v>
      </c>
      <c r="I1085" s="110"/>
    </row>
    <row r="1086" spans="1:9" ht="16.350000000000001" customHeight="1">
      <c r="A1086" s="45">
        <v>3</v>
      </c>
      <c r="B1086" s="120" t="s">
        <v>616</v>
      </c>
      <c r="C1086" s="120" t="s">
        <v>269</v>
      </c>
      <c r="D1086" s="9"/>
      <c r="E1086" s="9"/>
      <c r="F1086" s="130">
        <f t="shared" si="215"/>
        <v>0</v>
      </c>
      <c r="G1086" s="131">
        <f t="shared" si="216"/>
        <v>0</v>
      </c>
      <c r="I1086" s="110"/>
    </row>
    <row r="1087" spans="1:9" ht="16.350000000000001" customHeight="1">
      <c r="A1087" s="45">
        <v>4</v>
      </c>
      <c r="B1087" s="120" t="s">
        <v>617</v>
      </c>
      <c r="C1087" s="120" t="s">
        <v>618</v>
      </c>
      <c r="D1087" s="9"/>
      <c r="E1087" s="9"/>
      <c r="F1087" s="130">
        <f t="shared" si="215"/>
        <v>0</v>
      </c>
      <c r="G1087" s="131">
        <f t="shared" si="216"/>
        <v>0</v>
      </c>
      <c r="I1087" s="110"/>
    </row>
    <row r="1088" spans="1:9" ht="16.350000000000001" customHeight="1">
      <c r="A1088" s="45">
        <v>5</v>
      </c>
      <c r="B1088" s="120" t="s">
        <v>400</v>
      </c>
      <c r="C1088" s="120" t="s">
        <v>401</v>
      </c>
      <c r="D1088" s="9"/>
      <c r="E1088" s="9"/>
      <c r="F1088" s="130">
        <f t="shared" si="215"/>
        <v>0</v>
      </c>
      <c r="G1088" s="131">
        <f t="shared" si="216"/>
        <v>0</v>
      </c>
      <c r="I1088" s="110"/>
    </row>
    <row r="1089" spans="1:9" ht="16.350000000000001" customHeight="1">
      <c r="A1089" s="45">
        <v>6</v>
      </c>
      <c r="B1089" s="90"/>
      <c r="C1089" s="23"/>
      <c r="D1089" s="9"/>
      <c r="E1089" s="9"/>
      <c r="F1089" s="130">
        <f t="shared" si="215"/>
        <v>0</v>
      </c>
      <c r="G1089" s="131">
        <f t="shared" si="216"/>
        <v>0</v>
      </c>
      <c r="I1089" s="110"/>
    </row>
    <row r="1090" spans="1:9" ht="16.350000000000001" customHeight="1">
      <c r="A1090" s="47" t="s">
        <v>619</v>
      </c>
      <c r="B1090" s="5"/>
      <c r="C1090" s="6"/>
      <c r="D1090" s="14"/>
      <c r="E1090" s="14"/>
      <c r="F1090" s="14"/>
      <c r="G1090" s="53"/>
      <c r="I1090" s="110"/>
    </row>
    <row r="1091" spans="1:9" ht="16.350000000000001" customHeight="1">
      <c r="A1091" s="43" t="s">
        <v>0</v>
      </c>
      <c r="B1091" s="7" t="s">
        <v>1</v>
      </c>
      <c r="C1091" s="8" t="s">
        <v>4</v>
      </c>
      <c r="D1091" s="7" t="s">
        <v>2</v>
      </c>
      <c r="E1091" s="7" t="s">
        <v>6</v>
      </c>
      <c r="F1091" s="128" t="s">
        <v>7</v>
      </c>
      <c r="G1091" s="129" t="s">
        <v>8</v>
      </c>
      <c r="I1091" s="110"/>
    </row>
    <row r="1092" spans="1:9" ht="16.350000000000001" customHeight="1">
      <c r="A1092" s="45">
        <v>1</v>
      </c>
      <c r="B1092" s="120" t="s">
        <v>621</v>
      </c>
      <c r="C1092" s="120" t="s">
        <v>622</v>
      </c>
      <c r="D1092" s="9"/>
      <c r="E1092" s="9"/>
      <c r="F1092" s="130">
        <f>IF(E1092="",0,IF(E1092&gt;0,RANK(E1092,$E$1092:$E$1105,1)))</f>
        <v>0</v>
      </c>
      <c r="G1092" s="131">
        <f>VLOOKUP(F1092,$L$3:$M$33,2,0)</f>
        <v>0</v>
      </c>
      <c r="I1092" s="110"/>
    </row>
    <row r="1093" spans="1:9" ht="16.350000000000001" customHeight="1">
      <c r="A1093" s="45">
        <v>2</v>
      </c>
      <c r="B1093" s="120" t="s">
        <v>415</v>
      </c>
      <c r="C1093" s="120" t="s">
        <v>15</v>
      </c>
      <c r="D1093" s="9"/>
      <c r="E1093" s="9"/>
      <c r="F1093" s="130">
        <f t="shared" ref="F1093:F1097" si="217">IF(E1093="",0,IF(E1093&gt;0,RANK(E1093,$E$1092:$E$1105,1)))</f>
        <v>0</v>
      </c>
      <c r="G1093" s="131">
        <f t="shared" ref="G1093:G1097" si="218">VLOOKUP(F1093,$L$3:$M$33,2,0)</f>
        <v>0</v>
      </c>
      <c r="I1093" s="110"/>
    </row>
    <row r="1094" spans="1:9" ht="16.350000000000001" customHeight="1">
      <c r="A1094" s="45">
        <v>3</v>
      </c>
      <c r="B1094" s="120" t="s">
        <v>623</v>
      </c>
      <c r="C1094" s="120" t="s">
        <v>88</v>
      </c>
      <c r="D1094" s="9"/>
      <c r="E1094" s="9"/>
      <c r="F1094" s="130">
        <f t="shared" si="217"/>
        <v>0</v>
      </c>
      <c r="G1094" s="131">
        <f t="shared" si="218"/>
        <v>0</v>
      </c>
      <c r="I1094" s="110"/>
    </row>
    <row r="1095" spans="1:9" ht="16.350000000000001" customHeight="1">
      <c r="A1095" s="45">
        <v>4</v>
      </c>
      <c r="B1095" s="120" t="s">
        <v>624</v>
      </c>
      <c r="C1095" s="120" t="s">
        <v>88</v>
      </c>
      <c r="D1095" s="9"/>
      <c r="E1095" s="9"/>
      <c r="F1095" s="130">
        <f t="shared" si="217"/>
        <v>0</v>
      </c>
      <c r="G1095" s="131">
        <f t="shared" si="218"/>
        <v>0</v>
      </c>
      <c r="I1095" s="110"/>
    </row>
    <row r="1096" spans="1:9" ht="16.350000000000001" customHeight="1">
      <c r="A1096" s="45">
        <v>5</v>
      </c>
      <c r="B1096" s="120" t="s">
        <v>625</v>
      </c>
      <c r="C1096" s="120" t="s">
        <v>401</v>
      </c>
      <c r="D1096" s="9"/>
      <c r="E1096" s="9"/>
      <c r="F1096" s="130">
        <f t="shared" si="217"/>
        <v>0</v>
      </c>
      <c r="G1096" s="131">
        <f t="shared" si="218"/>
        <v>0</v>
      </c>
      <c r="I1096" s="110"/>
    </row>
    <row r="1097" spans="1:9" ht="16.350000000000001" customHeight="1">
      <c r="A1097" s="45">
        <v>6</v>
      </c>
      <c r="B1097" s="126" t="s">
        <v>626</v>
      </c>
      <c r="C1097" s="126" t="s">
        <v>413</v>
      </c>
      <c r="D1097" s="9"/>
      <c r="E1097" s="9"/>
      <c r="F1097" s="130">
        <f t="shared" si="217"/>
        <v>0</v>
      </c>
      <c r="G1097" s="131">
        <f t="shared" si="218"/>
        <v>0</v>
      </c>
      <c r="I1097" s="110"/>
    </row>
    <row r="1098" spans="1:9" ht="16.350000000000001" customHeight="1">
      <c r="A1098" s="47" t="s">
        <v>620</v>
      </c>
      <c r="B1098" s="5"/>
      <c r="C1098" s="6"/>
      <c r="D1098" s="14"/>
      <c r="E1098" s="14"/>
      <c r="F1098" s="144"/>
      <c r="G1098" s="145"/>
    </row>
    <row r="1099" spans="1:9" ht="16.350000000000001" customHeight="1">
      <c r="A1099" s="43" t="s">
        <v>0</v>
      </c>
      <c r="B1099" s="7" t="s">
        <v>1</v>
      </c>
      <c r="C1099" s="8" t="s">
        <v>4</v>
      </c>
      <c r="D1099" s="7" t="s">
        <v>2</v>
      </c>
      <c r="E1099" s="7" t="s">
        <v>6</v>
      </c>
      <c r="F1099" s="128" t="s">
        <v>7</v>
      </c>
      <c r="G1099" s="129" t="s">
        <v>8</v>
      </c>
    </row>
    <row r="1100" spans="1:9" ht="16.350000000000001" customHeight="1">
      <c r="A1100" s="45">
        <v>1</v>
      </c>
      <c r="B1100" s="120" t="s">
        <v>627</v>
      </c>
      <c r="C1100" s="120" t="s">
        <v>64</v>
      </c>
      <c r="D1100" s="9"/>
      <c r="E1100" s="9"/>
      <c r="F1100" s="130">
        <f>IF(E1100="",0,IF(E1100&gt;0,RANK(E1100,E1092:E1105,1)))</f>
        <v>0</v>
      </c>
      <c r="G1100" s="131">
        <f>VLOOKUP(F1100,$L$3:$M$33,2,0)</f>
        <v>0</v>
      </c>
    </row>
    <row r="1101" spans="1:9" ht="16.350000000000001" customHeight="1">
      <c r="A1101" s="45">
        <v>2</v>
      </c>
      <c r="B1101" s="120" t="s">
        <v>527</v>
      </c>
      <c r="C1101" s="120" t="s">
        <v>64</v>
      </c>
      <c r="D1101" s="9"/>
      <c r="E1101" s="9"/>
      <c r="F1101" s="130">
        <f>IF(E1101="",0,IF(E1101&gt;0,RANK(E1101,E1092:E1105,1)))</f>
        <v>0</v>
      </c>
      <c r="G1101" s="131">
        <f t="shared" ref="G1101:G1105" si="219">VLOOKUP(F1101,$L$3:$M$33,2,0)</f>
        <v>0</v>
      </c>
    </row>
    <row r="1102" spans="1:9" ht="16.350000000000001" customHeight="1">
      <c r="A1102" s="45">
        <v>3</v>
      </c>
      <c r="B1102" s="120" t="s">
        <v>628</v>
      </c>
      <c r="C1102" s="120" t="s">
        <v>405</v>
      </c>
      <c r="D1102" s="9"/>
      <c r="E1102" s="9"/>
      <c r="F1102" s="130">
        <f>IF(E1102="",0,IF(E1102&gt;0,RANK(E1102,E1092:E1105,1)))</f>
        <v>0</v>
      </c>
      <c r="G1102" s="131">
        <f t="shared" si="219"/>
        <v>0</v>
      </c>
    </row>
    <row r="1103" spans="1:9" ht="16.350000000000001" customHeight="1">
      <c r="A1103" s="45">
        <v>4</v>
      </c>
      <c r="B1103" s="120" t="s">
        <v>629</v>
      </c>
      <c r="C1103" s="120" t="s">
        <v>405</v>
      </c>
      <c r="D1103" s="9"/>
      <c r="E1103" s="9"/>
      <c r="F1103" s="130">
        <f>IF(E1103="",0,IF(E1103&gt;0,RANK(E1103,E1092:E1105,1)))</f>
        <v>0</v>
      </c>
      <c r="G1103" s="131">
        <f t="shared" si="219"/>
        <v>0</v>
      </c>
    </row>
    <row r="1104" spans="1:9" ht="16.350000000000001" customHeight="1">
      <c r="A1104" s="45">
        <v>5</v>
      </c>
      <c r="B1104" s="120" t="s">
        <v>630</v>
      </c>
      <c r="C1104" s="120" t="s">
        <v>444</v>
      </c>
      <c r="D1104" s="9"/>
      <c r="E1104" s="9"/>
      <c r="F1104" s="130">
        <f>IF(E1104="",0,IF(E1104&gt;0,RANK(E1104,E1092:E1105,1)))</f>
        <v>0</v>
      </c>
      <c r="G1104" s="131">
        <f t="shared" si="219"/>
        <v>0</v>
      </c>
    </row>
    <row r="1105" spans="1:7" ht="16.350000000000001" customHeight="1">
      <c r="A1105" s="45">
        <v>6</v>
      </c>
      <c r="B1105" s="120" t="s">
        <v>631</v>
      </c>
      <c r="C1105" s="120" t="s">
        <v>13</v>
      </c>
      <c r="D1105" s="9"/>
      <c r="E1105" s="9"/>
      <c r="F1105" s="130">
        <f>IF(E1105="",0,IF(E1105&gt;0,RANK(E1105,E1092:E1105,1)))</f>
        <v>0</v>
      </c>
      <c r="G1105" s="131">
        <f t="shared" si="219"/>
        <v>0</v>
      </c>
    </row>
    <row r="1106" spans="1:7" ht="16.350000000000001" customHeight="1">
      <c r="A1106" s="47" t="s">
        <v>632</v>
      </c>
      <c r="B1106" s="5"/>
      <c r="C1106" s="6"/>
      <c r="D1106" s="14"/>
      <c r="E1106" s="14"/>
      <c r="F1106" s="14"/>
      <c r="G1106" s="53"/>
    </row>
    <row r="1107" spans="1:7" ht="16.350000000000001" customHeight="1">
      <c r="A1107" s="43" t="s">
        <v>0</v>
      </c>
      <c r="B1107" s="7" t="s">
        <v>1</v>
      </c>
      <c r="C1107" s="8" t="s">
        <v>4</v>
      </c>
      <c r="D1107" s="7" t="s">
        <v>2</v>
      </c>
      <c r="E1107" s="7" t="s">
        <v>6</v>
      </c>
      <c r="F1107" s="7" t="s">
        <v>7</v>
      </c>
      <c r="G1107" s="44" t="s">
        <v>8</v>
      </c>
    </row>
    <row r="1108" spans="1:7" ht="16.350000000000001" customHeight="1">
      <c r="A1108" s="45">
        <v>1</v>
      </c>
      <c r="B1108" s="120" t="s">
        <v>519</v>
      </c>
      <c r="C1108" s="120" t="s">
        <v>60</v>
      </c>
      <c r="D1108" s="9"/>
      <c r="E1108" s="9"/>
      <c r="F1108" s="10">
        <f>IF(E1108="",0,IF(E1108&gt;0,RANK(E1108,E1108:E1113,1)))</f>
        <v>0</v>
      </c>
      <c r="G1108" s="46">
        <f>VLOOKUP(F1108,$L$3:$M$33,2,0)</f>
        <v>0</v>
      </c>
    </row>
    <row r="1109" spans="1:7" ht="16.350000000000001" customHeight="1">
      <c r="A1109" s="45">
        <v>2</v>
      </c>
      <c r="B1109" s="126" t="s">
        <v>633</v>
      </c>
      <c r="C1109" s="126" t="s">
        <v>634</v>
      </c>
      <c r="D1109" s="9"/>
      <c r="E1109" s="9"/>
      <c r="F1109" s="10">
        <f>IF(E1109="",0,IF(E1109&gt;0,RANK(E1109,E1108:E1113,1)))</f>
        <v>0</v>
      </c>
      <c r="G1109" s="46">
        <f t="shared" ref="G1109:G1113" si="220">VLOOKUP(F1109,$L$3:$M$33,2,0)</f>
        <v>0</v>
      </c>
    </row>
    <row r="1110" spans="1:7" ht="16.350000000000001" customHeight="1">
      <c r="A1110" s="45">
        <v>3</v>
      </c>
      <c r="B1110" s="127" t="s">
        <v>635</v>
      </c>
      <c r="C1110" s="120" t="s">
        <v>64</v>
      </c>
      <c r="D1110" s="9"/>
      <c r="E1110" s="9"/>
      <c r="F1110" s="10">
        <f>IF(E1110="",0,IF(E1110&gt;0,RANK(E1110,E1108:E1113,1)))</f>
        <v>0</v>
      </c>
      <c r="G1110" s="46">
        <f t="shared" si="220"/>
        <v>0</v>
      </c>
    </row>
    <row r="1111" spans="1:7" ht="16.350000000000001" customHeight="1">
      <c r="A1111" s="45">
        <v>4</v>
      </c>
      <c r="B1111" s="127" t="s">
        <v>636</v>
      </c>
      <c r="C1111" s="120" t="s">
        <v>405</v>
      </c>
      <c r="D1111" s="9"/>
      <c r="E1111" s="9"/>
      <c r="F1111" s="10">
        <f>IF(E1111="",0,IF(E1111&gt;0,RANK(E1111,E1108:E1113,1)))</f>
        <v>0</v>
      </c>
      <c r="G1111" s="46">
        <f t="shared" si="220"/>
        <v>0</v>
      </c>
    </row>
    <row r="1112" spans="1:7" ht="16.350000000000001" customHeight="1">
      <c r="A1112" s="45">
        <v>5</v>
      </c>
      <c r="B1112" s="120" t="s">
        <v>637</v>
      </c>
      <c r="C1112" s="120" t="s">
        <v>84</v>
      </c>
      <c r="D1112" s="9"/>
      <c r="E1112" s="9"/>
      <c r="F1112" s="10">
        <f>IF(E1112="",0,IF(E1112&gt;0,RANK(E1112,E1108:E1113,1)))</f>
        <v>0</v>
      </c>
      <c r="G1112" s="46">
        <f t="shared" si="220"/>
        <v>0</v>
      </c>
    </row>
    <row r="1113" spans="1:7" ht="16.350000000000001" customHeight="1">
      <c r="A1113" s="45">
        <v>6</v>
      </c>
      <c r="B1113" s="3"/>
      <c r="C1113" s="1"/>
      <c r="D1113" s="9"/>
      <c r="E1113" s="9"/>
      <c r="F1113" s="10">
        <f>IF(E1113="",0,IF(E1113&gt;0,RANK(E1113,E1108:E1113,1)))</f>
        <v>0</v>
      </c>
      <c r="G1113" s="46">
        <f t="shared" si="220"/>
        <v>0</v>
      </c>
    </row>
    <row r="1114" spans="1:7" s="13" customFormat="1" ht="16.350000000000001" customHeight="1">
      <c r="A1114" s="47" t="s">
        <v>638</v>
      </c>
      <c r="B1114" s="5"/>
      <c r="C1114" s="5"/>
      <c r="D1114" s="16"/>
      <c r="E1114" s="16"/>
      <c r="F1114" s="16"/>
      <c r="G1114" s="52"/>
    </row>
    <row r="1115" spans="1:7" ht="16.350000000000001" customHeight="1">
      <c r="A1115" s="43" t="s">
        <v>0</v>
      </c>
      <c r="B1115" s="7" t="s">
        <v>1</v>
      </c>
      <c r="C1115" s="8" t="s">
        <v>4</v>
      </c>
      <c r="D1115" s="7" t="s">
        <v>2</v>
      </c>
      <c r="E1115" s="7" t="s">
        <v>6</v>
      </c>
      <c r="F1115" s="7" t="s">
        <v>7</v>
      </c>
      <c r="G1115" s="44" t="s">
        <v>8</v>
      </c>
    </row>
    <row r="1116" spans="1:7" ht="16.350000000000001" customHeight="1">
      <c r="A1116" s="45">
        <v>1</v>
      </c>
      <c r="B1116" s="120"/>
      <c r="C1116" s="120"/>
      <c r="D1116" s="9"/>
      <c r="E1116" s="9"/>
      <c r="F1116" s="10">
        <f>IF(E1116="",0,IF(E1116&gt;0,RANK(E1116,E1116:E1121,1)))</f>
        <v>0</v>
      </c>
      <c r="G1116" s="46">
        <f>VLOOKUP(F1116,$L$3:$M$33,2,0)</f>
        <v>0</v>
      </c>
    </row>
    <row r="1117" spans="1:7" ht="16.350000000000001" customHeight="1">
      <c r="A1117" s="45">
        <v>2</v>
      </c>
      <c r="B1117" s="120"/>
      <c r="C1117" s="120"/>
      <c r="D1117" s="9"/>
      <c r="E1117" s="9"/>
      <c r="F1117" s="10">
        <f>IF(E1117="",0,IF(E1117&gt;0,RANK(E1117,E1116:E1121,1)))</f>
        <v>0</v>
      </c>
      <c r="G1117" s="46">
        <f t="shared" ref="G1117:G1121" si="221">VLOOKUP(F1117,$L$3:$M$33,2,0)</f>
        <v>0</v>
      </c>
    </row>
    <row r="1118" spans="1:7" ht="16.350000000000001" customHeight="1">
      <c r="A1118" s="45">
        <v>3</v>
      </c>
      <c r="B1118" s="120" t="s">
        <v>639</v>
      </c>
      <c r="C1118" s="120" t="s">
        <v>13</v>
      </c>
      <c r="D1118" s="9"/>
      <c r="E1118" s="9"/>
      <c r="F1118" s="10">
        <f>IF(E1118="",0,IF(E1118&gt;0,RANK(E1118,E1116:E1121,1)))</f>
        <v>0</v>
      </c>
      <c r="G1118" s="46">
        <f t="shared" si="221"/>
        <v>0</v>
      </c>
    </row>
    <row r="1119" spans="1:7" ht="16.350000000000001" customHeight="1">
      <c r="A1119" s="45">
        <v>4</v>
      </c>
      <c r="B1119" s="120" t="s">
        <v>640</v>
      </c>
      <c r="C1119" s="120" t="s">
        <v>13</v>
      </c>
      <c r="D1119" s="9"/>
      <c r="E1119" s="9"/>
      <c r="F1119" s="10">
        <f>IF(E1119="",0,IF(E1119&gt;0,RANK(E1119,E1116:E1121,1)))</f>
        <v>0</v>
      </c>
      <c r="G1119" s="46">
        <f t="shared" si="221"/>
        <v>0</v>
      </c>
    </row>
    <row r="1120" spans="1:7" ht="16.350000000000001" customHeight="1">
      <c r="A1120" s="45">
        <v>5</v>
      </c>
      <c r="B1120" s="23"/>
      <c r="C1120" s="91"/>
      <c r="D1120" s="9"/>
      <c r="E1120" s="9"/>
      <c r="F1120" s="10">
        <f>IF(E1120="",0,IF(E1120&gt;0,RANK(E1120,E1116:E1121,1)))</f>
        <v>0</v>
      </c>
      <c r="G1120" s="46">
        <f t="shared" si="221"/>
        <v>0</v>
      </c>
    </row>
    <row r="1121" spans="1:7" ht="16.350000000000001" customHeight="1">
      <c r="A1121" s="45">
        <v>6</v>
      </c>
      <c r="B1121" s="1"/>
      <c r="C1121" s="2"/>
      <c r="D1121" s="9"/>
      <c r="E1121" s="9"/>
      <c r="F1121" s="10">
        <f>IF(E1121="",0,IF(E1121&gt;0,RANK(E1121,E1116:E1121,1)))</f>
        <v>0</v>
      </c>
      <c r="G1121" s="46">
        <f t="shared" si="221"/>
        <v>0</v>
      </c>
    </row>
    <row r="1122" spans="1:7" ht="16.350000000000001" customHeight="1">
      <c r="A1122" s="47" t="s">
        <v>641</v>
      </c>
      <c r="B1122" s="5"/>
      <c r="C1122" s="4"/>
      <c r="D1122" s="14"/>
      <c r="E1122" s="14"/>
      <c r="F1122" s="14"/>
      <c r="G1122" s="53"/>
    </row>
    <row r="1123" spans="1:7" ht="16.350000000000001" customHeight="1">
      <c r="A1123" s="43" t="s">
        <v>0</v>
      </c>
      <c r="B1123" s="7" t="s">
        <v>1</v>
      </c>
      <c r="C1123" s="8" t="s">
        <v>4</v>
      </c>
      <c r="D1123" s="7" t="s">
        <v>2</v>
      </c>
      <c r="E1123" s="7" t="s">
        <v>6</v>
      </c>
      <c r="F1123" s="7" t="s">
        <v>7</v>
      </c>
      <c r="G1123" s="44" t="s">
        <v>8</v>
      </c>
    </row>
    <row r="1124" spans="1:7" ht="16.350000000000001" customHeight="1">
      <c r="A1124" s="45">
        <v>1</v>
      </c>
      <c r="B1124" s="120"/>
      <c r="C1124" s="120"/>
      <c r="D1124" s="9"/>
      <c r="E1124" s="9"/>
      <c r="F1124" s="10">
        <f>IF(E1124="",0,IF(E1124&gt;0,RANK(E1124,E1124:E1129,1)))</f>
        <v>0</v>
      </c>
      <c r="G1124" s="46">
        <f>VLOOKUP(F1124,$L$3:$M$33,2,0)</f>
        <v>0</v>
      </c>
    </row>
    <row r="1125" spans="1:7" ht="16.350000000000001" customHeight="1">
      <c r="A1125" s="45">
        <v>2</v>
      </c>
      <c r="B1125" s="120" t="s">
        <v>642</v>
      </c>
      <c r="C1125" s="120" t="s">
        <v>444</v>
      </c>
      <c r="D1125" s="9"/>
      <c r="E1125" s="9"/>
      <c r="F1125" s="10">
        <f>IF(E1125="",0,IF(E1125&gt;0,RANK(E1125,E1124:E1129,1)))</f>
        <v>0</v>
      </c>
      <c r="G1125" s="46">
        <f t="shared" ref="G1125:G1129" si="222">VLOOKUP(F1125,$L$3:$M$33,2,0)</f>
        <v>0</v>
      </c>
    </row>
    <row r="1126" spans="1:7" ht="16.350000000000001" customHeight="1">
      <c r="A1126" s="45">
        <v>3</v>
      </c>
      <c r="B1126" s="120" t="s">
        <v>643</v>
      </c>
      <c r="C1126" s="120" t="s">
        <v>13</v>
      </c>
      <c r="D1126" s="9"/>
      <c r="E1126" s="9"/>
      <c r="F1126" s="10">
        <f>IF(E1126="",0,IF(E1126&gt;0,RANK(E1126,E1124:E1129,1)))</f>
        <v>0</v>
      </c>
      <c r="G1126" s="46">
        <f t="shared" si="222"/>
        <v>0</v>
      </c>
    </row>
    <row r="1127" spans="1:7" ht="16.350000000000001" customHeight="1">
      <c r="A1127" s="45">
        <v>4</v>
      </c>
      <c r="B1127" s="120" t="s">
        <v>644</v>
      </c>
      <c r="C1127" s="120" t="s">
        <v>495</v>
      </c>
      <c r="D1127" s="9"/>
      <c r="E1127" s="9"/>
      <c r="F1127" s="10">
        <f>IF(E1127="",0,IF(E1127&gt;0,RANK(E1127,E1124:E1129,1)))</f>
        <v>0</v>
      </c>
      <c r="G1127" s="46">
        <f t="shared" si="222"/>
        <v>0</v>
      </c>
    </row>
    <row r="1128" spans="1:7" ht="16.350000000000001" customHeight="1">
      <c r="A1128" s="45">
        <v>5</v>
      </c>
      <c r="B1128" s="120" t="s">
        <v>645</v>
      </c>
      <c r="C1128" s="120" t="s">
        <v>88</v>
      </c>
      <c r="D1128" s="9"/>
      <c r="E1128" s="9"/>
      <c r="F1128" s="10">
        <f>IF(E1128="",0,IF(E1128&gt;0,RANK(E1128,E1124:E1129,1)))</f>
        <v>0</v>
      </c>
      <c r="G1128" s="46">
        <f t="shared" si="222"/>
        <v>0</v>
      </c>
    </row>
    <row r="1129" spans="1:7" ht="16.350000000000001" customHeight="1">
      <c r="A1129" s="45">
        <v>6</v>
      </c>
      <c r="B1129" s="1"/>
      <c r="C1129" s="2"/>
      <c r="D1129" s="9"/>
      <c r="E1129" s="9"/>
      <c r="F1129" s="10">
        <f>IF(E1129="",0,IF(E1129&gt;0,RANK(E1129,E1124:E1129,1)))</f>
        <v>0</v>
      </c>
      <c r="G1129" s="46">
        <f t="shared" si="222"/>
        <v>0</v>
      </c>
    </row>
    <row r="1130" spans="1:7" s="13" customFormat="1" ht="16.350000000000001" customHeight="1">
      <c r="A1130" s="47" t="s">
        <v>646</v>
      </c>
      <c r="B1130" s="5"/>
      <c r="C1130" s="5"/>
      <c r="D1130" s="16"/>
      <c r="E1130" s="16"/>
      <c r="F1130" s="16"/>
      <c r="G1130" s="52"/>
    </row>
    <row r="1131" spans="1:7" ht="16.350000000000001" customHeight="1">
      <c r="A1131" s="43">
        <v>3</v>
      </c>
      <c r="B1131" s="7" t="s">
        <v>1</v>
      </c>
      <c r="C1131" s="8" t="s">
        <v>4</v>
      </c>
      <c r="D1131" s="7" t="s">
        <v>2</v>
      </c>
      <c r="E1131" s="7" t="s">
        <v>6</v>
      </c>
      <c r="F1131" s="128" t="s">
        <v>7</v>
      </c>
      <c r="G1131" s="129" t="s">
        <v>8</v>
      </c>
    </row>
    <row r="1132" spans="1:7" ht="16.350000000000001" customHeight="1">
      <c r="A1132" s="45">
        <v>1</v>
      </c>
      <c r="B1132" s="120" t="s">
        <v>581</v>
      </c>
      <c r="C1132" s="120" t="s">
        <v>269</v>
      </c>
      <c r="D1132" s="9"/>
      <c r="E1132" s="9"/>
      <c r="F1132" s="130">
        <f>IF(E1132="",0,IF(E1132&gt;0,RANK(E1132,E1132:E1145,1)))</f>
        <v>0</v>
      </c>
      <c r="G1132" s="131">
        <f>VLOOKUP(F1132,$L$3:$M$33,2,0)</f>
        <v>0</v>
      </c>
    </row>
    <row r="1133" spans="1:7" ht="16.350000000000001" customHeight="1">
      <c r="A1133" s="45">
        <v>2</v>
      </c>
      <c r="B1133" s="120" t="s">
        <v>460</v>
      </c>
      <c r="C1133" s="120" t="s">
        <v>405</v>
      </c>
      <c r="D1133" s="9"/>
      <c r="E1133" s="9"/>
      <c r="F1133" s="130">
        <f>IF(E1133="",0,IF(E1133&gt;0,RANK(E1133,E1132:E1145,1)))</f>
        <v>0</v>
      </c>
      <c r="G1133" s="131">
        <f t="shared" ref="G1133:G1137" si="223">VLOOKUP(F1133,$L$3:$M$33,2,0)</f>
        <v>0</v>
      </c>
    </row>
    <row r="1134" spans="1:7" ht="16.350000000000001" customHeight="1">
      <c r="A1134" s="45">
        <v>3</v>
      </c>
      <c r="B1134" s="126" t="s">
        <v>648</v>
      </c>
      <c r="C1134" s="120" t="s">
        <v>551</v>
      </c>
      <c r="D1134" s="9"/>
      <c r="E1134" s="9"/>
      <c r="F1134" s="130">
        <f>IF(E1134="",0,IF(E1134&gt;0,RANK(E1134,E1132:E1145,1)))</f>
        <v>0</v>
      </c>
      <c r="G1134" s="131">
        <f t="shared" si="223"/>
        <v>0</v>
      </c>
    </row>
    <row r="1135" spans="1:7" ht="16.350000000000001" customHeight="1">
      <c r="A1135" s="45">
        <v>4</v>
      </c>
      <c r="B1135" s="120" t="s">
        <v>649</v>
      </c>
      <c r="C1135" s="120" t="s">
        <v>88</v>
      </c>
      <c r="D1135" s="9"/>
      <c r="E1135" s="9"/>
      <c r="F1135" s="130">
        <f>IF(E1135="",0,IF(E1135&gt;0,RANK(E1135,E1132:E1145,1)))</f>
        <v>0</v>
      </c>
      <c r="G1135" s="131">
        <f t="shared" si="223"/>
        <v>0</v>
      </c>
    </row>
    <row r="1136" spans="1:7" ht="16.350000000000001" customHeight="1">
      <c r="A1136" s="45">
        <v>5</v>
      </c>
      <c r="B1136" s="120" t="s">
        <v>650</v>
      </c>
      <c r="C1136" s="120" t="s">
        <v>88</v>
      </c>
      <c r="D1136" s="9"/>
      <c r="E1136" s="9"/>
      <c r="F1136" s="130">
        <f>IF(E1136="",0,IF(E1136&gt;0,RANK(E1136,E1132:E1145,1)))</f>
        <v>0</v>
      </c>
      <c r="G1136" s="131">
        <f t="shared" si="223"/>
        <v>0</v>
      </c>
    </row>
    <row r="1137" spans="1:11" ht="16.350000000000001" customHeight="1">
      <c r="A1137" s="45">
        <v>6</v>
      </c>
      <c r="B1137" s="120"/>
      <c r="C1137" s="120"/>
      <c r="D1137" s="9"/>
      <c r="E1137" s="9"/>
      <c r="F1137" s="130">
        <f>IF(E1137="",0,IF(E1137&gt;0,RANK(E1137,E1132:E1145,1)))</f>
        <v>0</v>
      </c>
      <c r="G1137" s="131">
        <f t="shared" si="223"/>
        <v>0</v>
      </c>
    </row>
    <row r="1138" spans="1:11" ht="16.350000000000001" customHeight="1">
      <c r="A1138" s="47" t="s">
        <v>647</v>
      </c>
      <c r="B1138" s="5"/>
      <c r="C1138" s="4"/>
      <c r="F1138" s="133"/>
      <c r="G1138" s="132"/>
    </row>
    <row r="1139" spans="1:11" ht="16.350000000000001" customHeight="1">
      <c r="A1139" s="43" t="s">
        <v>0</v>
      </c>
      <c r="B1139" s="7" t="s">
        <v>1</v>
      </c>
      <c r="C1139" s="8" t="s">
        <v>4</v>
      </c>
      <c r="D1139" s="7" t="s">
        <v>2</v>
      </c>
      <c r="E1139" s="7" t="s">
        <v>6</v>
      </c>
      <c r="F1139" s="128" t="s">
        <v>7</v>
      </c>
      <c r="G1139" s="129" t="s">
        <v>8</v>
      </c>
    </row>
    <row r="1140" spans="1:11" ht="16.350000000000001" customHeight="1">
      <c r="A1140" s="45">
        <v>1</v>
      </c>
      <c r="B1140" s="23"/>
      <c r="C1140" s="79"/>
      <c r="D1140" s="9"/>
      <c r="E1140" s="9"/>
      <c r="F1140" s="130">
        <f>IF(E1140="",0,IF(E1140&gt;0,RANK(E1140,E1132:E1145,1)))</f>
        <v>0</v>
      </c>
      <c r="G1140" s="131">
        <f>VLOOKUP(F1140,$L$3:$M$33,2,0)</f>
        <v>0</v>
      </c>
    </row>
    <row r="1141" spans="1:11" ht="16.350000000000001" customHeight="1">
      <c r="A1141" s="45">
        <v>2</v>
      </c>
      <c r="B1141" s="120" t="s">
        <v>651</v>
      </c>
      <c r="C1141" s="120" t="s">
        <v>60</v>
      </c>
      <c r="D1141" s="9"/>
      <c r="E1141" s="9"/>
      <c r="F1141" s="130">
        <f>IF(E1141="",0,IF(E1141&gt;0,RANK(E1141,E1132:E1145,1)))</f>
        <v>0</v>
      </c>
      <c r="G1141" s="131">
        <f t="shared" ref="G1141:G1145" si="224">VLOOKUP(F1141,$L$3:$M$33,2,0)</f>
        <v>0</v>
      </c>
      <c r="H1141" s="31">
        <v>840331</v>
      </c>
      <c r="I1141" s="101"/>
      <c r="J1141" s="101"/>
      <c r="K1141" s="101"/>
    </row>
    <row r="1142" spans="1:11" ht="16.350000000000001" customHeight="1">
      <c r="A1142" s="45">
        <v>3</v>
      </c>
      <c r="B1142" s="120" t="s">
        <v>654</v>
      </c>
      <c r="C1142" s="120" t="s">
        <v>407</v>
      </c>
      <c r="D1142" s="9"/>
      <c r="E1142" s="9"/>
      <c r="F1142" s="130">
        <f>IF(E1142="",0,IF(E1142&gt;0,RANK(E1142,E1132:E1145,1)))</f>
        <v>0</v>
      </c>
      <c r="G1142" s="131">
        <f t="shared" si="224"/>
        <v>0</v>
      </c>
      <c r="H1142" s="31">
        <v>870206</v>
      </c>
      <c r="I1142" s="101"/>
      <c r="J1142" s="101"/>
      <c r="K1142" s="101"/>
    </row>
    <row r="1143" spans="1:11" ht="16.350000000000001" customHeight="1">
      <c r="A1143" s="45">
        <v>4</v>
      </c>
      <c r="B1143" s="120" t="s">
        <v>652</v>
      </c>
      <c r="C1143" s="120" t="s">
        <v>547</v>
      </c>
      <c r="D1143" s="9"/>
      <c r="E1143" s="9"/>
      <c r="F1143" s="130">
        <f>IF(E1143="",0,IF(E1143&gt;0,RANK(E1143,E1132:E1145,1)))</f>
        <v>0</v>
      </c>
      <c r="G1143" s="131">
        <f t="shared" si="224"/>
        <v>0</v>
      </c>
      <c r="H1143" s="31">
        <v>831020</v>
      </c>
      <c r="I1143" s="101"/>
      <c r="J1143" s="101"/>
      <c r="K1143" s="101"/>
    </row>
    <row r="1144" spans="1:11" ht="16.350000000000001" customHeight="1">
      <c r="A1144" s="45">
        <v>5</v>
      </c>
      <c r="B1144" s="120" t="s">
        <v>653</v>
      </c>
      <c r="C1144" s="120" t="s">
        <v>401</v>
      </c>
      <c r="D1144" s="9"/>
      <c r="E1144" s="9"/>
      <c r="F1144" s="130">
        <f>IF(E1144="",0,IF(E1144&gt;0,RANK(E1144,E1132:E1145,1)))</f>
        <v>0</v>
      </c>
      <c r="G1144" s="131">
        <f t="shared" si="224"/>
        <v>0</v>
      </c>
      <c r="H1144" s="31">
        <v>850428</v>
      </c>
      <c r="I1144" s="101"/>
      <c r="J1144" s="101"/>
      <c r="K1144" s="101"/>
    </row>
    <row r="1145" spans="1:11" ht="16.350000000000001" customHeight="1">
      <c r="A1145" s="45">
        <v>6</v>
      </c>
      <c r="B1145" s="1"/>
      <c r="C1145" s="2"/>
      <c r="D1145" s="9"/>
      <c r="E1145" s="9"/>
      <c r="F1145" s="130">
        <f>IF(E1145="",0,IF(E1145&gt;0,RANK(E1145,E1132:E1145,1)))</f>
        <v>0</v>
      </c>
      <c r="G1145" s="131">
        <f t="shared" si="224"/>
        <v>0</v>
      </c>
    </row>
    <row r="1146" spans="1:11" ht="16.350000000000001" customHeight="1">
      <c r="A1146" s="47" t="s">
        <v>655</v>
      </c>
      <c r="B1146" s="5"/>
      <c r="C1146" s="19"/>
      <c r="G1146" s="48"/>
    </row>
    <row r="1147" spans="1:11" ht="16.350000000000001" customHeight="1">
      <c r="A1147" s="43" t="s">
        <v>0</v>
      </c>
      <c r="B1147" s="7" t="s">
        <v>1</v>
      </c>
      <c r="C1147" s="8" t="s">
        <v>4</v>
      </c>
      <c r="D1147" s="7" t="s">
        <v>2</v>
      </c>
      <c r="E1147" s="7" t="s">
        <v>6</v>
      </c>
      <c r="F1147" s="128" t="s">
        <v>7</v>
      </c>
      <c r="G1147" s="129" t="s">
        <v>8</v>
      </c>
    </row>
    <row r="1148" spans="1:11" ht="16.350000000000001" customHeight="1">
      <c r="A1148" s="45">
        <v>1</v>
      </c>
      <c r="B1148" s="120" t="s">
        <v>657</v>
      </c>
      <c r="C1148" s="120" t="s">
        <v>64</v>
      </c>
      <c r="D1148" s="9"/>
      <c r="E1148" s="9"/>
      <c r="F1148" s="130">
        <f>IF(E1148="",0,IF(E1148&gt;0,RANK(E1148,E1148:E1169,1)))</f>
        <v>0</v>
      </c>
      <c r="G1148" s="131">
        <f>VLOOKUP(F1148,$L$3:$M$33,2,0)</f>
        <v>0</v>
      </c>
    </row>
    <row r="1149" spans="1:11" ht="16.350000000000001" customHeight="1">
      <c r="A1149" s="45">
        <v>2</v>
      </c>
      <c r="B1149" s="120" t="s">
        <v>470</v>
      </c>
      <c r="C1149" s="120" t="s">
        <v>405</v>
      </c>
      <c r="D1149" s="9"/>
      <c r="E1149" s="9"/>
      <c r="F1149" s="130">
        <f>IF(E1149="",0,IF(E1149&gt;0,RANK(E1149,E1148:E1169,1)))</f>
        <v>0</v>
      </c>
      <c r="G1149" s="131">
        <f t="shared" ref="G1149:G1153" si="225">VLOOKUP(F1149,$L$3:$M$33,2,0)</f>
        <v>0</v>
      </c>
    </row>
    <row r="1150" spans="1:11" ht="16.350000000000001" customHeight="1">
      <c r="A1150" s="45">
        <v>3</v>
      </c>
      <c r="B1150" s="120" t="s">
        <v>471</v>
      </c>
      <c r="C1150" s="120" t="s">
        <v>84</v>
      </c>
      <c r="D1150" s="9"/>
      <c r="E1150" s="9"/>
      <c r="F1150" s="130">
        <f>IF(E1150="",0,IF(E1150&gt;0,RANK(E1150,E1148:E1169,1)))</f>
        <v>0</v>
      </c>
      <c r="G1150" s="131">
        <f t="shared" si="225"/>
        <v>0</v>
      </c>
      <c r="H1150" s="31">
        <v>941223</v>
      </c>
      <c r="I1150" s="101"/>
      <c r="J1150" s="101"/>
      <c r="K1150" s="101"/>
    </row>
    <row r="1151" spans="1:11" ht="16.350000000000001" customHeight="1">
      <c r="A1151" s="45">
        <v>4</v>
      </c>
      <c r="B1151" s="120" t="s">
        <v>566</v>
      </c>
      <c r="C1151" s="120" t="s">
        <v>510</v>
      </c>
      <c r="D1151" s="9"/>
      <c r="E1151" s="9"/>
      <c r="F1151" s="130">
        <f>IF(E1151="",0,IF(E1151&gt;0,RANK(E1151,E1148:E1169,1)))</f>
        <v>0</v>
      </c>
      <c r="G1151" s="131">
        <f t="shared" si="225"/>
        <v>0</v>
      </c>
      <c r="H1151" s="31"/>
      <c r="I1151" s="101"/>
      <c r="J1151" s="101"/>
      <c r="K1151" s="101"/>
    </row>
    <row r="1152" spans="1:11" ht="16.350000000000001" customHeight="1">
      <c r="A1152" s="45">
        <v>5</v>
      </c>
      <c r="B1152" s="127" t="s">
        <v>658</v>
      </c>
      <c r="C1152" s="120" t="s">
        <v>13</v>
      </c>
      <c r="D1152" s="9"/>
      <c r="E1152" s="9"/>
      <c r="F1152" s="130">
        <f>IF(E1152="",0,IF(E1152&gt;0,RANK(E1152,E1148:E1169,1)))</f>
        <v>0</v>
      </c>
      <c r="G1152" s="131">
        <f t="shared" si="225"/>
        <v>0</v>
      </c>
    </row>
    <row r="1153" spans="1:11" ht="16.350000000000001" customHeight="1">
      <c r="A1153" s="45">
        <v>6</v>
      </c>
      <c r="B1153" s="120"/>
      <c r="C1153" s="120"/>
      <c r="D1153" s="9"/>
      <c r="E1153" s="9"/>
      <c r="F1153" s="130">
        <f>IF(E1153="",0,IF(E1153&gt;0,RANK(E1153,E1148:E1169,1)))</f>
        <v>0</v>
      </c>
      <c r="G1153" s="131">
        <f t="shared" si="225"/>
        <v>0</v>
      </c>
    </row>
    <row r="1154" spans="1:11" ht="16.350000000000001" customHeight="1">
      <c r="A1154" s="47" t="s">
        <v>656</v>
      </c>
      <c r="B1154" s="5"/>
      <c r="C1154" s="19"/>
      <c r="F1154" s="133"/>
      <c r="G1154" s="132"/>
    </row>
    <row r="1155" spans="1:11" ht="16.350000000000001" customHeight="1">
      <c r="A1155" s="43" t="s">
        <v>0</v>
      </c>
      <c r="B1155" s="7" t="s">
        <v>1</v>
      </c>
      <c r="C1155" s="8" t="s">
        <v>4</v>
      </c>
      <c r="D1155" s="7" t="s">
        <v>2</v>
      </c>
      <c r="E1155" s="7" t="s">
        <v>6</v>
      </c>
      <c r="F1155" s="128" t="s">
        <v>7</v>
      </c>
      <c r="G1155" s="129" t="s">
        <v>8</v>
      </c>
    </row>
    <row r="1156" spans="1:11" ht="16.350000000000001" customHeight="1">
      <c r="A1156" s="45">
        <v>1</v>
      </c>
      <c r="B1156" s="120"/>
      <c r="C1156" s="120"/>
      <c r="D1156" s="9"/>
      <c r="E1156" s="9"/>
      <c r="F1156" s="130">
        <f>IF(E1156="",0,IF(E1156&gt;0,RANK(E1156,E1148:E1169,1)))</f>
        <v>0</v>
      </c>
      <c r="G1156" s="131">
        <f>VLOOKUP(F1156,$L$3:$M$33,2,0)</f>
        <v>0</v>
      </c>
    </row>
    <row r="1157" spans="1:11" ht="16.350000000000001" customHeight="1">
      <c r="A1157" s="45">
        <v>2</v>
      </c>
      <c r="B1157" s="120" t="s">
        <v>660</v>
      </c>
      <c r="C1157" s="120" t="s">
        <v>405</v>
      </c>
      <c r="D1157" s="9"/>
      <c r="E1157" s="9"/>
      <c r="F1157" s="130">
        <f>IF(E1157="",0,IF(E1157&gt;0,RANK(E1157,E1148:E1169,1)))</f>
        <v>0</v>
      </c>
      <c r="G1157" s="131">
        <f t="shared" ref="G1157:G1161" si="226">VLOOKUP(F1157,$L$3:$M$33,2,0)</f>
        <v>0</v>
      </c>
    </row>
    <row r="1158" spans="1:11" ht="16.350000000000001" customHeight="1">
      <c r="A1158" s="45">
        <v>3</v>
      </c>
      <c r="B1158" s="120" t="s">
        <v>661</v>
      </c>
      <c r="C1158" s="120" t="s">
        <v>405</v>
      </c>
      <c r="D1158" s="9"/>
      <c r="E1158" s="9"/>
      <c r="F1158" s="130">
        <f>IF(E1158="",0,IF(E1158&gt;0,RANK(E1158,E1148:E1169,1)))</f>
        <v>0</v>
      </c>
      <c r="G1158" s="131">
        <f t="shared" si="226"/>
        <v>0</v>
      </c>
      <c r="H1158" s="31">
        <v>941223</v>
      </c>
      <c r="I1158" s="101"/>
      <c r="J1158" s="101"/>
      <c r="K1158" s="101"/>
    </row>
    <row r="1159" spans="1:11" ht="16.350000000000001" customHeight="1">
      <c r="A1159" s="45">
        <v>4</v>
      </c>
      <c r="B1159" s="127" t="s">
        <v>662</v>
      </c>
      <c r="C1159" s="120" t="s">
        <v>84</v>
      </c>
      <c r="D1159" s="9"/>
      <c r="E1159" s="9"/>
      <c r="F1159" s="130">
        <f>IF(E1159="",0,IF(E1159&gt;0,RANK(E1159,E1148:E1169,1)))</f>
        <v>0</v>
      </c>
      <c r="G1159" s="131">
        <f t="shared" si="226"/>
        <v>0</v>
      </c>
      <c r="H1159" s="31"/>
      <c r="I1159" s="101"/>
      <c r="J1159" s="101"/>
      <c r="K1159" s="101"/>
    </row>
    <row r="1160" spans="1:11" ht="16.350000000000001" customHeight="1">
      <c r="A1160" s="45">
        <v>5</v>
      </c>
      <c r="B1160" s="127" t="s">
        <v>663</v>
      </c>
      <c r="C1160" s="120" t="s">
        <v>13</v>
      </c>
      <c r="D1160" s="9"/>
      <c r="E1160" s="9"/>
      <c r="F1160" s="130">
        <f>IF(E1160="",0,IF(E1160&gt;0,RANK(E1160,E1148:E1169,1)))</f>
        <v>0</v>
      </c>
      <c r="G1160" s="131">
        <f t="shared" si="226"/>
        <v>0</v>
      </c>
    </row>
    <row r="1161" spans="1:11" ht="16.350000000000001" customHeight="1">
      <c r="A1161" s="45">
        <v>6</v>
      </c>
      <c r="B1161" s="120"/>
      <c r="C1161" s="120"/>
      <c r="D1161" s="9"/>
      <c r="E1161" s="9"/>
      <c r="F1161" s="130">
        <f>IF(E1161="",0,IF(E1161&gt;0,RANK(E1161,E1148:E1169,1)))</f>
        <v>0</v>
      </c>
      <c r="G1161" s="131">
        <f t="shared" si="226"/>
        <v>0</v>
      </c>
    </row>
    <row r="1162" spans="1:11" ht="16.350000000000001" customHeight="1">
      <c r="A1162" s="47" t="s">
        <v>666</v>
      </c>
      <c r="B1162" s="5"/>
      <c r="C1162" s="6"/>
      <c r="F1162" s="133"/>
      <c r="G1162" s="132"/>
    </row>
    <row r="1163" spans="1:11" ht="16.350000000000001" customHeight="1">
      <c r="A1163" s="43" t="s">
        <v>0</v>
      </c>
      <c r="B1163" s="7" t="s">
        <v>1</v>
      </c>
      <c r="C1163" s="8" t="s">
        <v>4</v>
      </c>
      <c r="D1163" s="7" t="s">
        <v>2</v>
      </c>
      <c r="E1163" s="7" t="s">
        <v>6</v>
      </c>
      <c r="F1163" s="128" t="s">
        <v>7</v>
      </c>
      <c r="G1163" s="129" t="s">
        <v>8</v>
      </c>
    </row>
    <row r="1164" spans="1:11" ht="16.350000000000001" customHeight="1">
      <c r="A1164" s="45">
        <v>1</v>
      </c>
      <c r="B1164" s="127" t="s">
        <v>667</v>
      </c>
      <c r="C1164" s="120" t="s">
        <v>88</v>
      </c>
      <c r="D1164" s="9"/>
      <c r="E1164" s="9"/>
      <c r="F1164" s="130">
        <f>IF(E1164="",0,IF(E1164&gt;0,RANK(E1164,E1148:E1169,1)))</f>
        <v>0</v>
      </c>
      <c r="G1164" s="131">
        <f>VLOOKUP(F1164,$L$3:$M$33,2,0)</f>
        <v>0</v>
      </c>
    </row>
    <row r="1165" spans="1:11" ht="16.350000000000001" customHeight="1">
      <c r="A1165" s="45">
        <v>2</v>
      </c>
      <c r="B1165" s="120" t="s">
        <v>474</v>
      </c>
      <c r="C1165" s="120" t="s">
        <v>401</v>
      </c>
      <c r="D1165" s="9"/>
      <c r="E1165" s="9"/>
      <c r="F1165" s="130">
        <f>IF(E1165="",0,IF(E1165&gt;0,RANK(E1165,E1148:E1169,1)))</f>
        <v>0</v>
      </c>
      <c r="G1165" s="131">
        <f t="shared" ref="G1165:G1169" si="227">VLOOKUP(F1165,$L$3:$M$33,2,0)</f>
        <v>0</v>
      </c>
    </row>
    <row r="1166" spans="1:11" ht="16.350000000000001" customHeight="1">
      <c r="A1166" s="45">
        <v>3</v>
      </c>
      <c r="B1166" s="120" t="s">
        <v>659</v>
      </c>
      <c r="C1166" s="120" t="s">
        <v>15</v>
      </c>
      <c r="D1166" s="9"/>
      <c r="E1166" s="9"/>
      <c r="F1166" s="130">
        <f>IF(E1166="",0,IF(E1166&gt;0,RANK(E1166,E1148:E1169,1)))</f>
        <v>0</v>
      </c>
      <c r="G1166" s="131">
        <f t="shared" si="227"/>
        <v>0</v>
      </c>
    </row>
    <row r="1167" spans="1:11" ht="16.350000000000001" customHeight="1">
      <c r="A1167" s="45">
        <v>4</v>
      </c>
      <c r="B1167" s="120" t="s">
        <v>664</v>
      </c>
      <c r="C1167" s="120" t="s">
        <v>665</v>
      </c>
      <c r="D1167" s="9"/>
      <c r="E1167" s="9"/>
      <c r="F1167" s="130">
        <f>IF(E1167="",0,IF(E1167&gt;0,RANK(E1167,E1148:E1169,1)))</f>
        <v>0</v>
      </c>
      <c r="G1167" s="131">
        <f t="shared" si="227"/>
        <v>0</v>
      </c>
    </row>
    <row r="1168" spans="1:11" ht="16.350000000000001" customHeight="1">
      <c r="A1168" s="45">
        <v>5</v>
      </c>
      <c r="B1168" s="85"/>
      <c r="C1168" s="85"/>
      <c r="D1168" s="9"/>
      <c r="E1168" s="9"/>
      <c r="F1168" s="130">
        <f>IF(E1168="",0,IF(E1168&gt;0,RANK(E1168,E1148:E1169,1)))</f>
        <v>0</v>
      </c>
      <c r="G1168" s="131">
        <f t="shared" si="227"/>
        <v>0</v>
      </c>
    </row>
    <row r="1169" spans="1:9" ht="16.350000000000001" customHeight="1">
      <c r="A1169" s="45">
        <v>6</v>
      </c>
      <c r="B1169" s="23"/>
      <c r="C1169" s="91"/>
      <c r="D1169" s="9"/>
      <c r="E1169" s="9"/>
      <c r="F1169" s="130">
        <f>IF(E1169="",0,IF(E1169&gt;0,RANK(E1169,E1148:E1169,1)))</f>
        <v>0</v>
      </c>
      <c r="G1169" s="131">
        <f t="shared" si="227"/>
        <v>0</v>
      </c>
    </row>
    <row r="1170" spans="1:9" ht="16.350000000000001" customHeight="1">
      <c r="A1170" s="47" t="s">
        <v>668</v>
      </c>
      <c r="B1170" s="18"/>
      <c r="C1170" s="18"/>
      <c r="G1170" s="48"/>
    </row>
    <row r="1171" spans="1:9" ht="16.350000000000001" customHeight="1">
      <c r="A1171" s="43" t="s">
        <v>0</v>
      </c>
      <c r="B1171" s="7" t="s">
        <v>1</v>
      </c>
      <c r="C1171" s="8" t="s">
        <v>4</v>
      </c>
      <c r="D1171" s="7" t="s">
        <v>2</v>
      </c>
      <c r="E1171" s="7" t="s">
        <v>6</v>
      </c>
      <c r="F1171" s="128" t="s">
        <v>7</v>
      </c>
      <c r="G1171" s="129" t="s">
        <v>8</v>
      </c>
      <c r="I1171" s="110"/>
    </row>
    <row r="1172" spans="1:9" ht="16.350000000000001" customHeight="1">
      <c r="A1172" s="45">
        <v>1</v>
      </c>
      <c r="B1172" s="127" t="s">
        <v>670</v>
      </c>
      <c r="C1172" s="120" t="s">
        <v>13</v>
      </c>
      <c r="D1172" s="9"/>
      <c r="E1172" s="9"/>
      <c r="F1172" s="130">
        <f t="shared" ref="F1172:F1177" si="228">IF(E1172="",0,IF(E1172&gt;0,RANK(E1172,$E$1172:$E$1185,1)))</f>
        <v>0</v>
      </c>
      <c r="G1172" s="131">
        <f>VLOOKUP(F1172,$L$3:$M$33,2,0)</f>
        <v>0</v>
      </c>
      <c r="I1172" s="110"/>
    </row>
    <row r="1173" spans="1:9" ht="16.350000000000001" customHeight="1">
      <c r="A1173" s="45">
        <v>2</v>
      </c>
      <c r="B1173" s="120" t="s">
        <v>675</v>
      </c>
      <c r="C1173" s="120" t="s">
        <v>64</v>
      </c>
      <c r="D1173" s="165"/>
      <c r="E1173" s="124"/>
      <c r="F1173" s="130">
        <f t="shared" si="228"/>
        <v>0</v>
      </c>
      <c r="G1173" s="131">
        <f t="shared" ref="G1173:G1177" si="229">VLOOKUP(F1173,$L$3:$M$33,2,0)</f>
        <v>0</v>
      </c>
      <c r="I1173" s="110"/>
    </row>
    <row r="1174" spans="1:9" ht="16.350000000000001" customHeight="1">
      <c r="A1174" s="45">
        <v>3</v>
      </c>
      <c r="B1174" s="120" t="s">
        <v>676</v>
      </c>
      <c r="C1174" s="120" t="s">
        <v>405</v>
      </c>
      <c r="D1174" s="165"/>
      <c r="E1174" s="124"/>
      <c r="F1174" s="130">
        <f t="shared" si="228"/>
        <v>0</v>
      </c>
      <c r="G1174" s="131">
        <f t="shared" si="229"/>
        <v>0</v>
      </c>
      <c r="I1174" s="110"/>
    </row>
    <row r="1175" spans="1:9" ht="16.350000000000001" customHeight="1">
      <c r="A1175" s="45">
        <v>4</v>
      </c>
      <c r="B1175" s="126" t="s">
        <v>677</v>
      </c>
      <c r="C1175" s="120" t="s">
        <v>13</v>
      </c>
      <c r="D1175" s="165"/>
      <c r="E1175" s="124"/>
      <c r="F1175" s="130">
        <f t="shared" si="228"/>
        <v>0</v>
      </c>
      <c r="G1175" s="131">
        <f t="shared" si="229"/>
        <v>0</v>
      </c>
      <c r="I1175" s="110"/>
    </row>
    <row r="1176" spans="1:9" ht="16.350000000000001" customHeight="1">
      <c r="A1176" s="45">
        <v>5</v>
      </c>
      <c r="B1176" s="127" t="s">
        <v>678</v>
      </c>
      <c r="C1176" s="120" t="s">
        <v>401</v>
      </c>
      <c r="D1176" s="123"/>
      <c r="E1176" s="124"/>
      <c r="F1176" s="130">
        <f t="shared" si="228"/>
        <v>0</v>
      </c>
      <c r="G1176" s="131">
        <f t="shared" si="229"/>
        <v>0</v>
      </c>
      <c r="I1176" s="110"/>
    </row>
    <row r="1177" spans="1:9" ht="16.350000000000001" customHeight="1">
      <c r="A1177" s="45">
        <v>6</v>
      </c>
      <c r="B1177" s="120"/>
      <c r="C1177" s="120"/>
      <c r="D1177" s="22"/>
      <c r="E1177" s="9"/>
      <c r="F1177" s="130">
        <f t="shared" si="228"/>
        <v>0</v>
      </c>
      <c r="G1177" s="131">
        <f t="shared" si="229"/>
        <v>0</v>
      </c>
      <c r="I1177" s="110"/>
    </row>
    <row r="1178" spans="1:9" ht="16.350000000000001" customHeight="1">
      <c r="A1178" s="47" t="s">
        <v>672</v>
      </c>
      <c r="B1178" s="18"/>
      <c r="C1178" s="18"/>
      <c r="F1178" s="133"/>
      <c r="G1178" s="132"/>
      <c r="I1178" s="110"/>
    </row>
    <row r="1179" spans="1:9" ht="16.350000000000001" customHeight="1">
      <c r="A1179" s="43" t="s">
        <v>0</v>
      </c>
      <c r="B1179" s="7" t="s">
        <v>1</v>
      </c>
      <c r="C1179" s="8" t="s">
        <v>4</v>
      </c>
      <c r="D1179" s="7" t="s">
        <v>2</v>
      </c>
      <c r="E1179" s="7" t="s">
        <v>6</v>
      </c>
      <c r="F1179" s="128" t="s">
        <v>7</v>
      </c>
      <c r="G1179" s="129" t="s">
        <v>8</v>
      </c>
      <c r="I1179" s="110"/>
    </row>
    <row r="1180" spans="1:9" ht="16.350000000000001" customHeight="1">
      <c r="A1180" s="45">
        <v>1</v>
      </c>
      <c r="B1180" s="120"/>
      <c r="C1180" s="120"/>
      <c r="D1180" s="123"/>
      <c r="E1180" s="124"/>
      <c r="F1180" s="130">
        <f t="shared" ref="F1180:F1185" si="230">IF(E1180="",0,IF(E1180&gt;0,RANK(E1180,$E$1172:$E$1185,1)))</f>
        <v>0</v>
      </c>
      <c r="G1180" s="131">
        <f>VLOOKUP(F1180,$L$3:$M$33,2,0)</f>
        <v>0</v>
      </c>
      <c r="I1180" s="110"/>
    </row>
    <row r="1181" spans="1:9" ht="16.350000000000001" customHeight="1">
      <c r="A1181" s="45">
        <v>2</v>
      </c>
      <c r="B1181" s="120" t="s">
        <v>674</v>
      </c>
      <c r="C1181" s="120" t="s">
        <v>64</v>
      </c>
      <c r="D1181" s="123"/>
      <c r="E1181" s="124"/>
      <c r="F1181" s="130">
        <f t="shared" si="230"/>
        <v>0</v>
      </c>
      <c r="G1181" s="131">
        <f t="shared" ref="G1181:G1185" si="231">VLOOKUP(F1181,$L$3:$M$33,2,0)</f>
        <v>0</v>
      </c>
      <c r="I1181" s="110"/>
    </row>
    <row r="1182" spans="1:9" ht="16.350000000000001" customHeight="1">
      <c r="A1182" s="45">
        <v>3</v>
      </c>
      <c r="B1182" s="127" t="s">
        <v>671</v>
      </c>
      <c r="C1182" s="120" t="s">
        <v>13</v>
      </c>
      <c r="D1182" s="123"/>
      <c r="E1182" s="124"/>
      <c r="F1182" s="130">
        <f t="shared" si="230"/>
        <v>0</v>
      </c>
      <c r="G1182" s="131">
        <f t="shared" si="231"/>
        <v>0</v>
      </c>
      <c r="I1182" s="110"/>
    </row>
    <row r="1183" spans="1:9" ht="16.350000000000001" customHeight="1">
      <c r="A1183" s="45">
        <v>4</v>
      </c>
      <c r="B1183" s="127" t="s">
        <v>578</v>
      </c>
      <c r="C1183" s="120" t="s">
        <v>13</v>
      </c>
      <c r="D1183" s="166"/>
      <c r="E1183" s="124"/>
      <c r="F1183" s="130">
        <f t="shared" si="230"/>
        <v>0</v>
      </c>
      <c r="G1183" s="131">
        <f t="shared" si="231"/>
        <v>0</v>
      </c>
      <c r="I1183" s="110"/>
    </row>
    <row r="1184" spans="1:9" ht="16.350000000000001" customHeight="1">
      <c r="A1184" s="45">
        <v>5</v>
      </c>
      <c r="B1184" s="120" t="s">
        <v>673</v>
      </c>
      <c r="C1184" s="120" t="s">
        <v>88</v>
      </c>
      <c r="D1184" s="165"/>
      <c r="E1184" s="124"/>
      <c r="F1184" s="130">
        <f t="shared" si="230"/>
        <v>0</v>
      </c>
      <c r="G1184" s="131">
        <f t="shared" si="231"/>
        <v>0</v>
      </c>
      <c r="I1184" s="110"/>
    </row>
    <row r="1185" spans="1:9" ht="16.350000000000001" customHeight="1">
      <c r="A1185" s="45">
        <v>6</v>
      </c>
      <c r="B1185" s="127"/>
      <c r="C1185" s="120"/>
      <c r="D1185" s="22"/>
      <c r="E1185" s="9"/>
      <c r="F1185" s="130">
        <f t="shared" si="230"/>
        <v>0</v>
      </c>
      <c r="G1185" s="131">
        <f t="shared" si="231"/>
        <v>0</v>
      </c>
      <c r="I1185" s="110"/>
    </row>
    <row r="1186" spans="1:9" ht="16.350000000000001" customHeight="1">
      <c r="A1186" s="47" t="s">
        <v>679</v>
      </c>
      <c r="B1186" s="5"/>
      <c r="C1186" s="6"/>
      <c r="F1186" s="10"/>
      <c r="G1186" s="46"/>
    </row>
    <row r="1187" spans="1:9" ht="16.350000000000001" customHeight="1">
      <c r="A1187" s="43" t="s">
        <v>0</v>
      </c>
      <c r="B1187" s="7" t="s">
        <v>1</v>
      </c>
      <c r="C1187" s="8" t="s">
        <v>4</v>
      </c>
      <c r="D1187" s="7" t="s">
        <v>2</v>
      </c>
      <c r="E1187" s="7" t="s">
        <v>6</v>
      </c>
      <c r="F1187" s="128" t="s">
        <v>7</v>
      </c>
      <c r="G1187" s="129" t="s">
        <v>8</v>
      </c>
      <c r="I1187" s="110"/>
    </row>
    <row r="1188" spans="1:9" ht="16.350000000000001" customHeight="1">
      <c r="A1188" s="45">
        <v>1</v>
      </c>
      <c r="B1188" s="127"/>
      <c r="C1188" s="120"/>
      <c r="D1188" s="9"/>
      <c r="E1188" s="9"/>
      <c r="F1188" s="130">
        <f t="shared" ref="F1188:F1193" si="232">IF(E1188="",0,IF(E1188&gt;0,RANK(E1188,$E$1188:$E$1201,1)))</f>
        <v>0</v>
      </c>
      <c r="G1188" s="131">
        <f>VLOOKUP(F1188,$L$3:$M$33,2,0)</f>
        <v>0</v>
      </c>
      <c r="I1188" s="110"/>
    </row>
    <row r="1189" spans="1:9" ht="16.350000000000001" customHeight="1">
      <c r="A1189" s="45">
        <v>2</v>
      </c>
      <c r="B1189" s="127" t="s">
        <v>669</v>
      </c>
      <c r="C1189" s="120" t="s">
        <v>15</v>
      </c>
      <c r="D1189" s="165"/>
      <c r="E1189" s="124"/>
      <c r="F1189" s="130">
        <f t="shared" si="232"/>
        <v>0</v>
      </c>
      <c r="G1189" s="131">
        <f t="shared" ref="G1189:G1193" si="233">VLOOKUP(F1189,$L$3:$M$33,2,0)</f>
        <v>0</v>
      </c>
      <c r="I1189" s="110"/>
    </row>
    <row r="1190" spans="1:9" ht="16.350000000000001" customHeight="1">
      <c r="A1190" s="45">
        <v>3</v>
      </c>
      <c r="B1190" s="120" t="s">
        <v>590</v>
      </c>
      <c r="C1190" s="120" t="s">
        <v>407</v>
      </c>
      <c r="D1190" s="123"/>
      <c r="E1190" s="123"/>
      <c r="F1190" s="130">
        <f t="shared" si="232"/>
        <v>0</v>
      </c>
      <c r="G1190" s="131">
        <f t="shared" si="233"/>
        <v>0</v>
      </c>
      <c r="I1190" s="110"/>
    </row>
    <row r="1191" spans="1:9" ht="16.350000000000001" customHeight="1">
      <c r="A1191" s="45">
        <v>4</v>
      </c>
      <c r="B1191" s="127" t="s">
        <v>594</v>
      </c>
      <c r="C1191" s="120" t="s">
        <v>13</v>
      </c>
      <c r="D1191" s="165"/>
      <c r="E1191" s="124"/>
      <c r="F1191" s="130">
        <f t="shared" si="232"/>
        <v>0</v>
      </c>
      <c r="G1191" s="131">
        <f t="shared" si="233"/>
        <v>0</v>
      </c>
      <c r="I1191" s="110"/>
    </row>
    <row r="1192" spans="1:9" ht="16.350000000000001" customHeight="1">
      <c r="A1192" s="45">
        <v>5</v>
      </c>
      <c r="B1192" s="120" t="s">
        <v>684</v>
      </c>
      <c r="C1192" s="120" t="s">
        <v>13</v>
      </c>
      <c r="D1192" s="9"/>
      <c r="E1192" s="9"/>
      <c r="F1192" s="130">
        <f t="shared" si="232"/>
        <v>0</v>
      </c>
      <c r="G1192" s="131">
        <f t="shared" si="233"/>
        <v>0</v>
      </c>
      <c r="I1192" s="110"/>
    </row>
    <row r="1193" spans="1:9" ht="16.350000000000001" customHeight="1">
      <c r="A1193" s="45">
        <v>6</v>
      </c>
      <c r="B1193" s="85"/>
      <c r="C1193" s="85"/>
      <c r="D1193" s="9"/>
      <c r="E1193" s="9"/>
      <c r="F1193" s="130">
        <f t="shared" si="232"/>
        <v>0</v>
      </c>
      <c r="G1193" s="131">
        <f t="shared" si="233"/>
        <v>0</v>
      </c>
      <c r="I1193" s="110"/>
    </row>
    <row r="1194" spans="1:9" ht="16.350000000000001" customHeight="1">
      <c r="A1194" s="47" t="s">
        <v>680</v>
      </c>
      <c r="B1194" s="5"/>
      <c r="C1194" s="6"/>
      <c r="F1194" s="133"/>
      <c r="G1194" s="131"/>
      <c r="I1194" s="110"/>
    </row>
    <row r="1195" spans="1:9" ht="16.350000000000001" customHeight="1">
      <c r="A1195" s="43" t="s">
        <v>0</v>
      </c>
      <c r="B1195" s="7" t="s">
        <v>1</v>
      </c>
      <c r="C1195" s="8" t="s">
        <v>4</v>
      </c>
      <c r="D1195" s="7" t="s">
        <v>2</v>
      </c>
      <c r="E1195" s="7" t="s">
        <v>6</v>
      </c>
      <c r="F1195" s="128" t="s">
        <v>7</v>
      </c>
      <c r="G1195" s="129" t="s">
        <v>8</v>
      </c>
      <c r="I1195" s="110"/>
    </row>
    <row r="1196" spans="1:9" ht="16.350000000000001" customHeight="1">
      <c r="A1196" s="45">
        <v>1</v>
      </c>
      <c r="B1196" s="120"/>
      <c r="C1196" s="120"/>
      <c r="D1196" s="9"/>
      <c r="E1196" s="9"/>
      <c r="F1196" s="130">
        <f t="shared" ref="F1196:F1201" si="234">IF(E1196="",0,IF(E1196&gt;0,RANK(E1196,$E$1188:$E$1201,1)))</f>
        <v>0</v>
      </c>
      <c r="G1196" s="131">
        <f>VLOOKUP(F1196,$L$3:$M$33,2,0)</f>
        <v>0</v>
      </c>
      <c r="I1196" s="110"/>
    </row>
    <row r="1197" spans="1:9" ht="16.350000000000001" customHeight="1">
      <c r="A1197" s="45">
        <v>2</v>
      </c>
      <c r="B1197" s="120" t="s">
        <v>681</v>
      </c>
      <c r="C1197" s="120" t="s">
        <v>495</v>
      </c>
      <c r="D1197" s="123"/>
      <c r="E1197" s="123"/>
      <c r="F1197" s="130">
        <f t="shared" si="234"/>
        <v>0</v>
      </c>
      <c r="G1197" s="131">
        <f t="shared" ref="G1197:G1201" si="235">VLOOKUP(F1197,$L$3:$M$33,2,0)</f>
        <v>0</v>
      </c>
      <c r="I1197" s="110"/>
    </row>
    <row r="1198" spans="1:9" ht="16.350000000000001" customHeight="1">
      <c r="A1198" s="45">
        <v>3</v>
      </c>
      <c r="B1198" s="127" t="s">
        <v>682</v>
      </c>
      <c r="C1198" s="120" t="s">
        <v>13</v>
      </c>
      <c r="D1198" s="165"/>
      <c r="E1198" s="124"/>
      <c r="F1198" s="130">
        <f t="shared" si="234"/>
        <v>0</v>
      </c>
      <c r="G1198" s="131">
        <f t="shared" si="235"/>
        <v>0</v>
      </c>
      <c r="I1198" s="110"/>
    </row>
    <row r="1199" spans="1:9" ht="16.350000000000001" customHeight="1">
      <c r="A1199" s="45">
        <v>4</v>
      </c>
      <c r="B1199" s="127" t="s">
        <v>683</v>
      </c>
      <c r="C1199" s="120" t="s">
        <v>13</v>
      </c>
      <c r="D1199" s="165"/>
      <c r="E1199" s="124"/>
      <c r="F1199" s="130">
        <f t="shared" si="234"/>
        <v>0</v>
      </c>
      <c r="G1199" s="131">
        <f t="shared" si="235"/>
        <v>0</v>
      </c>
      <c r="I1199" s="110"/>
    </row>
    <row r="1200" spans="1:9" ht="16.350000000000001" customHeight="1">
      <c r="A1200" s="45">
        <v>5</v>
      </c>
      <c r="B1200" s="85"/>
      <c r="C1200" s="85"/>
      <c r="D1200" s="123"/>
      <c r="E1200" s="124"/>
      <c r="F1200" s="130">
        <f t="shared" si="234"/>
        <v>0</v>
      </c>
      <c r="G1200" s="131">
        <f t="shared" si="235"/>
        <v>0</v>
      </c>
      <c r="I1200" s="110"/>
    </row>
    <row r="1201" spans="1:9" ht="16.350000000000001" customHeight="1">
      <c r="A1201" s="45">
        <v>6</v>
      </c>
      <c r="B1201" s="23"/>
      <c r="C1201" s="78"/>
      <c r="D1201" s="9"/>
      <c r="E1201" s="9"/>
      <c r="F1201" s="130">
        <f t="shared" si="234"/>
        <v>0</v>
      </c>
      <c r="G1201" s="131">
        <f t="shared" si="235"/>
        <v>0</v>
      </c>
      <c r="I1201" s="110"/>
    </row>
    <row r="1202" spans="1:9" ht="16.350000000000001" customHeight="1">
      <c r="A1202" s="47" t="s">
        <v>685</v>
      </c>
      <c r="B1202" s="5"/>
      <c r="C1202" s="6"/>
      <c r="D1202" s="14"/>
      <c r="E1202" s="14"/>
      <c r="F1202" s="14"/>
      <c r="G1202" s="53"/>
    </row>
    <row r="1203" spans="1:9" ht="16.350000000000001" customHeight="1">
      <c r="A1203" s="43" t="s">
        <v>0</v>
      </c>
      <c r="B1203" s="7" t="s">
        <v>1</v>
      </c>
      <c r="C1203" s="8" t="s">
        <v>4</v>
      </c>
      <c r="D1203" s="7" t="s">
        <v>2</v>
      </c>
      <c r="E1203" s="7" t="s">
        <v>6</v>
      </c>
      <c r="F1203" s="7" t="s">
        <v>7</v>
      </c>
      <c r="G1203" s="44" t="s">
        <v>8</v>
      </c>
      <c r="I1203" s="110"/>
    </row>
    <row r="1204" spans="1:9" ht="16.350000000000001" customHeight="1">
      <c r="A1204" s="45">
        <v>1</v>
      </c>
      <c r="B1204" s="23"/>
      <c r="C1204" s="79"/>
      <c r="D1204" s="9"/>
      <c r="E1204" s="9"/>
      <c r="F1204" s="10">
        <f>IF(E1204="",0,IF(E1204&gt;0,RANK(E1204,$E$1204:$E$1209,1)))</f>
        <v>0</v>
      </c>
      <c r="G1204" s="46">
        <f>VLOOKUP(F1204,$L$3:$M$33,2,0)</f>
        <v>0</v>
      </c>
      <c r="I1204" s="110"/>
    </row>
    <row r="1205" spans="1:9" ht="16.350000000000001" customHeight="1">
      <c r="A1205" s="45">
        <v>2</v>
      </c>
      <c r="B1205" s="120"/>
      <c r="C1205" s="120"/>
      <c r="D1205" s="9"/>
      <c r="E1205" s="9"/>
      <c r="F1205" s="10">
        <f t="shared" ref="F1205:F1209" si="236">IF(E1205="",0,IF(E1205&gt;0,RANK(E1205,$E$1204:$E$1209,1)))</f>
        <v>0</v>
      </c>
      <c r="G1205" s="46">
        <f t="shared" ref="G1205:G1209" si="237">VLOOKUP(F1205,$L$3:$M$33,2,0)</f>
        <v>0</v>
      </c>
      <c r="I1205" s="110"/>
    </row>
    <row r="1206" spans="1:9" ht="16.350000000000001" customHeight="1">
      <c r="A1206" s="45">
        <v>3</v>
      </c>
      <c r="B1206" s="120" t="s">
        <v>686</v>
      </c>
      <c r="C1206" s="120" t="s">
        <v>687</v>
      </c>
      <c r="D1206" s="9"/>
      <c r="E1206" s="9"/>
      <c r="F1206" s="10">
        <f t="shared" si="236"/>
        <v>0</v>
      </c>
      <c r="G1206" s="46">
        <f t="shared" si="237"/>
        <v>0</v>
      </c>
      <c r="I1206" s="110"/>
    </row>
    <row r="1207" spans="1:9" ht="16.350000000000001" customHeight="1">
      <c r="A1207" s="45">
        <v>4</v>
      </c>
      <c r="B1207" s="120" t="s">
        <v>688</v>
      </c>
      <c r="C1207" s="120" t="s">
        <v>420</v>
      </c>
      <c r="D1207" s="9"/>
      <c r="E1207" s="9"/>
      <c r="F1207" s="10">
        <f t="shared" si="236"/>
        <v>0</v>
      </c>
      <c r="G1207" s="46">
        <f t="shared" si="237"/>
        <v>0</v>
      </c>
      <c r="I1207" s="110"/>
    </row>
    <row r="1208" spans="1:9" ht="16.350000000000001" customHeight="1">
      <c r="A1208" s="45">
        <v>5</v>
      </c>
      <c r="B1208" s="85"/>
      <c r="C1208" s="85"/>
      <c r="D1208" s="9"/>
      <c r="E1208" s="9"/>
      <c r="F1208" s="10">
        <f t="shared" si="236"/>
        <v>0</v>
      </c>
      <c r="G1208" s="46">
        <f t="shared" si="237"/>
        <v>0</v>
      </c>
      <c r="I1208" s="110"/>
    </row>
    <row r="1209" spans="1:9" ht="16.350000000000001" customHeight="1">
      <c r="A1209" s="45">
        <v>6</v>
      </c>
      <c r="B1209" s="74"/>
      <c r="C1209" s="74"/>
      <c r="D1209" s="9"/>
      <c r="E1209" s="9"/>
      <c r="F1209" s="10">
        <f t="shared" si="236"/>
        <v>0</v>
      </c>
      <c r="G1209" s="46">
        <f t="shared" si="237"/>
        <v>0</v>
      </c>
      <c r="I1209" s="110"/>
    </row>
    <row r="1210" spans="1:9" ht="16.350000000000001" customHeight="1">
      <c r="A1210" s="47" t="s">
        <v>689</v>
      </c>
      <c r="B1210" s="5"/>
      <c r="C1210" s="6"/>
      <c r="D1210" s="14"/>
      <c r="E1210" s="14"/>
      <c r="F1210" s="14"/>
      <c r="G1210" s="53"/>
      <c r="I1210" s="110"/>
    </row>
    <row r="1211" spans="1:9" ht="16.350000000000001" customHeight="1">
      <c r="A1211" s="43" t="s">
        <v>0</v>
      </c>
      <c r="B1211" s="7" t="s">
        <v>1</v>
      </c>
      <c r="C1211" s="8" t="s">
        <v>4</v>
      </c>
      <c r="D1211" s="7" t="s">
        <v>2</v>
      </c>
      <c r="E1211" s="7" t="s">
        <v>6</v>
      </c>
      <c r="F1211" s="128" t="s">
        <v>7</v>
      </c>
      <c r="G1211" s="129" t="s">
        <v>8</v>
      </c>
      <c r="I1211" s="110"/>
    </row>
    <row r="1212" spans="1:9" ht="16.350000000000001" customHeight="1">
      <c r="A1212" s="45">
        <v>1</v>
      </c>
      <c r="B1212" s="126" t="s">
        <v>691</v>
      </c>
      <c r="C1212" s="126" t="s">
        <v>692</v>
      </c>
      <c r="D1212" s="9"/>
      <c r="E1212" s="9"/>
      <c r="F1212" s="130">
        <f>IF(E1212="",0,IF(E1212&gt;0,RANK(E1212,$E$1212:$E$1233,1)))</f>
        <v>0</v>
      </c>
      <c r="G1212" s="131">
        <f>VLOOKUP(F1212,$L$3:$M$33,2,0)</f>
        <v>0</v>
      </c>
      <c r="I1212" s="110"/>
    </row>
    <row r="1213" spans="1:9" ht="16.350000000000001" customHeight="1">
      <c r="A1213" s="45">
        <v>2</v>
      </c>
      <c r="B1213" s="120" t="s">
        <v>615</v>
      </c>
      <c r="C1213" s="120" t="s">
        <v>60</v>
      </c>
      <c r="D1213" s="9"/>
      <c r="E1213" s="9"/>
      <c r="F1213" s="130">
        <f t="shared" ref="F1213:F1217" si="238">IF(E1213="",0,IF(E1213&gt;0,RANK(E1213,$E$1212:$E$1233,1)))</f>
        <v>0</v>
      </c>
      <c r="G1213" s="131">
        <f t="shared" ref="G1213:G1217" si="239">VLOOKUP(F1213,$L$3:$M$33,2,0)</f>
        <v>0</v>
      </c>
      <c r="I1213" s="110"/>
    </row>
    <row r="1214" spans="1:9" ht="16.350000000000001" customHeight="1">
      <c r="A1214" s="45">
        <v>3</v>
      </c>
      <c r="B1214" s="120" t="s">
        <v>616</v>
      </c>
      <c r="C1214" s="120" t="s">
        <v>269</v>
      </c>
      <c r="D1214" s="9"/>
      <c r="E1214" s="9"/>
      <c r="F1214" s="130">
        <f t="shared" si="238"/>
        <v>0</v>
      </c>
      <c r="G1214" s="131">
        <f t="shared" si="239"/>
        <v>0</v>
      </c>
      <c r="I1214" s="110"/>
    </row>
    <row r="1215" spans="1:9" ht="16.350000000000001" customHeight="1">
      <c r="A1215" s="45">
        <v>4</v>
      </c>
      <c r="B1215" s="127" t="s">
        <v>693</v>
      </c>
      <c r="C1215" s="120" t="s">
        <v>694</v>
      </c>
      <c r="D1215" s="9"/>
      <c r="E1215" s="9"/>
      <c r="F1215" s="130">
        <f t="shared" si="238"/>
        <v>0</v>
      </c>
      <c r="G1215" s="131">
        <f t="shared" si="239"/>
        <v>0</v>
      </c>
      <c r="I1215" s="110"/>
    </row>
    <row r="1216" spans="1:9" ht="16.350000000000001" customHeight="1">
      <c r="A1216" s="45">
        <v>5</v>
      </c>
      <c r="B1216" s="120" t="s">
        <v>696</v>
      </c>
      <c r="C1216" s="120" t="s">
        <v>405</v>
      </c>
      <c r="D1216" s="9"/>
      <c r="E1216" s="9"/>
      <c r="F1216" s="130">
        <f t="shared" si="238"/>
        <v>0</v>
      </c>
      <c r="G1216" s="131">
        <f t="shared" si="239"/>
        <v>0</v>
      </c>
      <c r="I1216" s="110"/>
    </row>
    <row r="1217" spans="1:11" ht="16.350000000000001" customHeight="1">
      <c r="A1217" s="45">
        <v>6</v>
      </c>
      <c r="B1217" s="120"/>
      <c r="C1217" s="120"/>
      <c r="D1217" s="9"/>
      <c r="E1217" s="9"/>
      <c r="F1217" s="130">
        <f t="shared" si="238"/>
        <v>0</v>
      </c>
      <c r="G1217" s="131">
        <f t="shared" si="239"/>
        <v>0</v>
      </c>
      <c r="I1217" s="110"/>
    </row>
    <row r="1218" spans="1:11" ht="16.350000000000001" customHeight="1">
      <c r="A1218" s="47" t="s">
        <v>690</v>
      </c>
      <c r="B1218" s="5"/>
      <c r="C1218" s="6"/>
      <c r="E1218" s="9"/>
      <c r="F1218" s="133"/>
      <c r="G1218" s="132"/>
    </row>
    <row r="1219" spans="1:11" ht="16.350000000000001" customHeight="1">
      <c r="A1219" s="43" t="s">
        <v>0</v>
      </c>
      <c r="B1219" s="7" t="s">
        <v>1</v>
      </c>
      <c r="C1219" s="8" t="s">
        <v>4</v>
      </c>
      <c r="D1219" s="7" t="s">
        <v>2</v>
      </c>
      <c r="E1219" s="7" t="s">
        <v>6</v>
      </c>
      <c r="F1219" s="128" t="s">
        <v>7</v>
      </c>
      <c r="G1219" s="129" t="s">
        <v>8</v>
      </c>
    </row>
    <row r="1220" spans="1:11" ht="16.350000000000001" customHeight="1">
      <c r="A1220" s="45">
        <v>1</v>
      </c>
      <c r="B1220" s="120"/>
      <c r="C1220" s="120"/>
      <c r="D1220" s="9"/>
      <c r="E1220" s="9"/>
      <c r="F1220" s="130">
        <f>IF(E1220="",0,IF(E1220&gt;0,RANK(E1220,E1212:E1233,1)))</f>
        <v>0</v>
      </c>
      <c r="G1220" s="131">
        <f>VLOOKUP(F1220,$L$3:$M$33,2,0)</f>
        <v>0</v>
      </c>
    </row>
    <row r="1221" spans="1:11" ht="16.350000000000001" customHeight="1">
      <c r="A1221" s="45">
        <v>2</v>
      </c>
      <c r="B1221" s="120" t="s">
        <v>499</v>
      </c>
      <c r="C1221" s="120" t="s">
        <v>84</v>
      </c>
      <c r="D1221" s="9"/>
      <c r="E1221" s="9"/>
      <c r="F1221" s="130">
        <f>IF(E1221="",0,IF(E1221&gt;0,RANK(E1221,E1212:E1233,1)))</f>
        <v>0</v>
      </c>
      <c r="G1221" s="131">
        <f t="shared" ref="G1221:G1225" si="240">VLOOKUP(F1221,$L$3:$M$33,2,0)</f>
        <v>0</v>
      </c>
    </row>
    <row r="1222" spans="1:11" ht="16.350000000000001" customHeight="1">
      <c r="A1222" s="45">
        <v>3</v>
      </c>
      <c r="B1222" s="120" t="s">
        <v>500</v>
      </c>
      <c r="C1222" s="120" t="s">
        <v>84</v>
      </c>
      <c r="D1222" s="9"/>
      <c r="E1222" s="9"/>
      <c r="F1222" s="130">
        <f>IF(E1222="",0,IF(E1222&gt;0,RANK(E1222,E1212:E1233,1)))</f>
        <v>0</v>
      </c>
      <c r="G1222" s="131">
        <f t="shared" si="240"/>
        <v>0</v>
      </c>
    </row>
    <row r="1223" spans="1:11" ht="16.350000000000001" customHeight="1">
      <c r="A1223" s="45">
        <v>4</v>
      </c>
      <c r="B1223" s="120" t="s">
        <v>617</v>
      </c>
      <c r="C1223" s="120" t="s">
        <v>420</v>
      </c>
      <c r="D1223" s="9"/>
      <c r="E1223" s="9"/>
      <c r="F1223" s="130">
        <f>IF(E1223="",0,IF(E1223&gt;0,RANK(E1223,E1212:E1233,1)))</f>
        <v>0</v>
      </c>
      <c r="G1223" s="131">
        <f t="shared" si="240"/>
        <v>0</v>
      </c>
    </row>
    <row r="1224" spans="1:11" ht="16.350000000000001" customHeight="1">
      <c r="A1224" s="45">
        <v>5</v>
      </c>
      <c r="B1224" s="120" t="s">
        <v>501</v>
      </c>
      <c r="C1224" s="120" t="s">
        <v>13</v>
      </c>
      <c r="D1224" s="9"/>
      <c r="E1224" s="9"/>
      <c r="F1224" s="130">
        <f>IF(E1224="",0,IF(E1224&gt;0,RANK(E1224,E1212:E1233,1)))</f>
        <v>0</v>
      </c>
      <c r="G1224" s="131">
        <f t="shared" si="240"/>
        <v>0</v>
      </c>
    </row>
    <row r="1225" spans="1:11" ht="16.350000000000001" customHeight="1">
      <c r="A1225" s="45">
        <v>6</v>
      </c>
      <c r="B1225" s="23"/>
      <c r="C1225" s="91"/>
      <c r="D1225" s="9"/>
      <c r="E1225" s="9"/>
      <c r="F1225" s="130">
        <f>IF(E1225="",0,IF(E1225&gt;0,RANK(E1225,E1212:E1233,1)))</f>
        <v>0</v>
      </c>
      <c r="G1225" s="131">
        <f t="shared" si="240"/>
        <v>0</v>
      </c>
    </row>
    <row r="1226" spans="1:11" ht="16.350000000000001" customHeight="1">
      <c r="A1226" s="47" t="s">
        <v>698</v>
      </c>
      <c r="B1226" s="5"/>
      <c r="C1226" s="4"/>
      <c r="F1226" s="133"/>
      <c r="G1226" s="132"/>
    </row>
    <row r="1227" spans="1:11" ht="16.350000000000001" customHeight="1">
      <c r="A1227" s="43" t="s">
        <v>0</v>
      </c>
      <c r="B1227" s="7" t="s">
        <v>1</v>
      </c>
      <c r="C1227" s="8" t="s">
        <v>4</v>
      </c>
      <c r="D1227" s="7" t="s">
        <v>2</v>
      </c>
      <c r="E1227" s="7" t="s">
        <v>6</v>
      </c>
      <c r="F1227" s="128" t="s">
        <v>7</v>
      </c>
      <c r="G1227" s="129" t="s">
        <v>8</v>
      </c>
    </row>
    <row r="1228" spans="1:11" ht="16.350000000000001" customHeight="1">
      <c r="A1228" s="45">
        <v>1</v>
      </c>
      <c r="B1228" s="85"/>
      <c r="C1228" s="85"/>
      <c r="D1228" s="9"/>
      <c r="E1228" s="9"/>
      <c r="F1228" s="130">
        <f>IF(E1228="",0,IF(E1228&gt;0,RANK(E1228,E1212:E1233,1)))</f>
        <v>0</v>
      </c>
      <c r="G1228" s="131">
        <f>VLOOKUP(F1228,$L$3:$M$33,2,0)</f>
        <v>0</v>
      </c>
    </row>
    <row r="1229" spans="1:11" ht="16.350000000000001" customHeight="1">
      <c r="A1229" s="45">
        <v>2</v>
      </c>
      <c r="B1229" s="120" t="s">
        <v>699</v>
      </c>
      <c r="C1229" s="120" t="s">
        <v>64</v>
      </c>
      <c r="D1229" s="9"/>
      <c r="E1229" s="9"/>
      <c r="F1229" s="130">
        <f>IF(E1229="",0,IF(E1229&gt;0,RANK(E1229,E1212:E1233,1)))</f>
        <v>0</v>
      </c>
      <c r="G1229" s="131">
        <f t="shared" ref="G1229:G1233" si="241">VLOOKUP(F1229,$L$3:$M$33,2,0)</f>
        <v>0</v>
      </c>
    </row>
    <row r="1230" spans="1:11" ht="16.350000000000001" customHeight="1">
      <c r="A1230" s="45">
        <v>3</v>
      </c>
      <c r="B1230" s="134" t="s">
        <v>700</v>
      </c>
      <c r="C1230" s="120" t="s">
        <v>567</v>
      </c>
      <c r="D1230" s="9"/>
      <c r="E1230" s="9"/>
      <c r="F1230" s="130">
        <f>IF(E1230="",0,IF(E1230&gt;0,RANK(E1230,E1212:E1233,1)))</f>
        <v>0</v>
      </c>
      <c r="G1230" s="131">
        <f t="shared" si="241"/>
        <v>0</v>
      </c>
      <c r="H1230" s="31"/>
      <c r="I1230" s="101"/>
      <c r="J1230" s="101"/>
      <c r="K1230" s="101"/>
    </row>
    <row r="1231" spans="1:11" ht="16.350000000000001" customHeight="1">
      <c r="A1231" s="45">
        <v>4</v>
      </c>
      <c r="B1231" s="127" t="s">
        <v>695</v>
      </c>
      <c r="C1231" s="120" t="s">
        <v>269</v>
      </c>
      <c r="D1231" s="9"/>
      <c r="E1231" s="9"/>
      <c r="F1231" s="130">
        <f>IF(E1231="",0,IF(E1231&gt;0,RANK(E1231,E1212:E1233,1)))</f>
        <v>0</v>
      </c>
      <c r="G1231" s="131">
        <f t="shared" si="241"/>
        <v>0</v>
      </c>
      <c r="H1231" s="31"/>
      <c r="I1231" s="101"/>
      <c r="J1231" s="101"/>
      <c r="K1231" s="101"/>
    </row>
    <row r="1232" spans="1:11" ht="16.350000000000001" customHeight="1">
      <c r="A1232" s="45">
        <v>5</v>
      </c>
      <c r="B1232" s="120" t="s">
        <v>496</v>
      </c>
      <c r="C1232" s="120" t="s">
        <v>697</v>
      </c>
      <c r="D1232" s="9"/>
      <c r="E1232" s="9"/>
      <c r="F1232" s="130">
        <f>IF(E1232="",0,IF(E1232&gt;0,RANK(E1232,E1212:E1233,1)))</f>
        <v>0</v>
      </c>
      <c r="G1232" s="131">
        <f t="shared" si="241"/>
        <v>0</v>
      </c>
      <c r="H1232" s="31">
        <v>711127</v>
      </c>
      <c r="I1232" s="101"/>
      <c r="J1232" s="101"/>
      <c r="K1232" s="101"/>
    </row>
    <row r="1233" spans="1:11" ht="16.350000000000001" customHeight="1">
      <c r="A1233" s="45">
        <v>6</v>
      </c>
      <c r="B1233" s="85"/>
      <c r="C1233" s="85" t="s">
        <v>20</v>
      </c>
      <c r="D1233" s="9"/>
      <c r="E1233" s="9"/>
      <c r="F1233" s="130">
        <f>IF(E1233="",0,IF(E1233&gt;0,RANK(E1233,E1212:E1233,1)))</f>
        <v>0</v>
      </c>
      <c r="G1233" s="131">
        <f t="shared" si="241"/>
        <v>0</v>
      </c>
    </row>
    <row r="1234" spans="1:11" ht="16.350000000000001" customHeight="1">
      <c r="A1234" s="47" t="s">
        <v>701</v>
      </c>
      <c r="B1234" s="5"/>
      <c r="C1234" s="4"/>
      <c r="G1234" s="48"/>
    </row>
    <row r="1235" spans="1:11" ht="16.350000000000001" customHeight="1">
      <c r="A1235" s="43" t="s">
        <v>0</v>
      </c>
      <c r="B1235" s="7" t="s">
        <v>1</v>
      </c>
      <c r="C1235" s="8" t="s">
        <v>4</v>
      </c>
      <c r="D1235" s="7" t="s">
        <v>2</v>
      </c>
      <c r="E1235" s="7" t="s">
        <v>6</v>
      </c>
      <c r="F1235" s="128" t="s">
        <v>7</v>
      </c>
      <c r="G1235" s="129" t="s">
        <v>8</v>
      </c>
    </row>
    <row r="1236" spans="1:11" ht="16.350000000000001" customHeight="1">
      <c r="A1236" s="45">
        <v>1</v>
      </c>
      <c r="B1236" s="126" t="s">
        <v>626</v>
      </c>
      <c r="C1236" s="126" t="s">
        <v>413</v>
      </c>
      <c r="D1236" s="9"/>
      <c r="E1236" s="9"/>
      <c r="F1236" s="130">
        <f>IF(E1236="",0,IF(E1236&gt;0,RANK(E1236,E1236:E1249,1)))</f>
        <v>0</v>
      </c>
      <c r="G1236" s="131">
        <f>VLOOKUP(F1236,$L$3:$M$33,2,0)</f>
        <v>0</v>
      </c>
    </row>
    <row r="1237" spans="1:11" ht="16.350000000000001" customHeight="1">
      <c r="A1237" s="45">
        <v>2</v>
      </c>
      <c r="B1237" s="120" t="s">
        <v>627</v>
      </c>
      <c r="C1237" s="120" t="s">
        <v>64</v>
      </c>
      <c r="D1237" s="9"/>
      <c r="E1237" s="9"/>
      <c r="F1237" s="130">
        <f>IF(E1237="",0,IF(E1237&gt;0,RANK(E1237,E1236:E1249,1)))</f>
        <v>0</v>
      </c>
      <c r="G1237" s="131">
        <f t="shared" ref="G1237:G1241" si="242">VLOOKUP(F1237,$L$3:$M$33,2,0)</f>
        <v>0</v>
      </c>
    </row>
    <row r="1238" spans="1:11" ht="16.350000000000001" customHeight="1">
      <c r="A1238" s="45">
        <v>3</v>
      </c>
      <c r="B1238" s="120" t="s">
        <v>527</v>
      </c>
      <c r="C1238" s="120" t="s">
        <v>64</v>
      </c>
      <c r="D1238" s="9"/>
      <c r="E1238" s="11"/>
      <c r="F1238" s="130">
        <f>IF(E1238="",0,IF(E1238&gt;0,RANK(E1238,E1236:E1249,1)))</f>
        <v>0</v>
      </c>
      <c r="G1238" s="131">
        <f t="shared" si="242"/>
        <v>0</v>
      </c>
      <c r="H1238" s="31"/>
      <c r="I1238" s="101"/>
      <c r="J1238" s="101"/>
      <c r="K1238" s="101"/>
    </row>
    <row r="1239" spans="1:11" ht="16.350000000000001" customHeight="1">
      <c r="A1239" s="45">
        <v>4</v>
      </c>
      <c r="B1239" s="120" t="s">
        <v>628</v>
      </c>
      <c r="C1239" s="120" t="s">
        <v>405</v>
      </c>
      <c r="D1239" s="9"/>
      <c r="E1239" s="11"/>
      <c r="F1239" s="130">
        <f>IF(E1239="",0,IF(E1239&gt;0,RANK(E1239,E1236:E1249,1)))</f>
        <v>0</v>
      </c>
      <c r="G1239" s="131">
        <f t="shared" si="242"/>
        <v>0</v>
      </c>
      <c r="H1239" s="31"/>
      <c r="I1239" s="101"/>
      <c r="J1239" s="101"/>
      <c r="K1239" s="101"/>
    </row>
    <row r="1240" spans="1:11" ht="16.350000000000001" customHeight="1">
      <c r="A1240" s="45">
        <v>5</v>
      </c>
      <c r="B1240" s="120" t="s">
        <v>629</v>
      </c>
      <c r="C1240" s="120" t="s">
        <v>405</v>
      </c>
      <c r="D1240" s="9"/>
      <c r="E1240" s="11"/>
      <c r="F1240" s="130">
        <f>IF(E1240="",0,IF(E1240&gt;0,RANK(E1240,E1236:E1249,1)))</f>
        <v>0</v>
      </c>
      <c r="G1240" s="131">
        <f t="shared" si="242"/>
        <v>0</v>
      </c>
      <c r="H1240" s="31">
        <v>711127</v>
      </c>
      <c r="I1240" s="101"/>
      <c r="J1240" s="101"/>
      <c r="K1240" s="101"/>
    </row>
    <row r="1241" spans="1:11" ht="16.350000000000001" customHeight="1">
      <c r="A1241" s="45">
        <v>6</v>
      </c>
      <c r="B1241" s="120" t="s">
        <v>630</v>
      </c>
      <c r="C1241" s="120" t="s">
        <v>495</v>
      </c>
      <c r="D1241" s="9"/>
      <c r="E1241" s="11"/>
      <c r="F1241" s="130">
        <f>IF(E1241="",0,IF(E1241&gt;0,RANK(E1241,E1236:E1249,1)))</f>
        <v>0</v>
      </c>
      <c r="G1241" s="131">
        <f t="shared" si="242"/>
        <v>0</v>
      </c>
    </row>
    <row r="1242" spans="1:11" ht="16.350000000000001" customHeight="1">
      <c r="A1242" s="47" t="s">
        <v>702</v>
      </c>
      <c r="B1242" s="18"/>
      <c r="C1242" s="18"/>
      <c r="F1242" s="133"/>
      <c r="G1242" s="132"/>
    </row>
    <row r="1243" spans="1:11" ht="16.350000000000001" customHeight="1">
      <c r="A1243" s="43" t="s">
        <v>0</v>
      </c>
      <c r="B1243" s="7" t="s">
        <v>1</v>
      </c>
      <c r="C1243" s="8" t="s">
        <v>4</v>
      </c>
      <c r="D1243" s="7" t="s">
        <v>2</v>
      </c>
      <c r="E1243" s="7" t="s">
        <v>6</v>
      </c>
      <c r="F1243" s="128" t="s">
        <v>7</v>
      </c>
      <c r="G1243" s="129" t="s">
        <v>8</v>
      </c>
      <c r="I1243" s="110"/>
    </row>
    <row r="1244" spans="1:11" ht="16.350000000000001" customHeight="1">
      <c r="A1244" s="45">
        <v>1</v>
      </c>
      <c r="B1244" s="120" t="s">
        <v>416</v>
      </c>
      <c r="C1244" s="120" t="s">
        <v>84</v>
      </c>
      <c r="D1244" s="15"/>
      <c r="E1244" s="11"/>
      <c r="F1244" s="130">
        <f>IF(E1244="",0,IF(E1244&gt;0,RANK(E1244,$E$1236:$E$1249,1)))</f>
        <v>0</v>
      </c>
      <c r="G1244" s="131">
        <f>VLOOKUP(F1244,$L$3:$M$33,2,0)</f>
        <v>0</v>
      </c>
      <c r="I1244" s="110"/>
    </row>
    <row r="1245" spans="1:11" ht="16.350000000000001" customHeight="1">
      <c r="A1245" s="45">
        <v>2</v>
      </c>
      <c r="B1245" s="126" t="s">
        <v>421</v>
      </c>
      <c r="C1245" s="120" t="s">
        <v>510</v>
      </c>
      <c r="D1245" s="15"/>
      <c r="E1245" s="11"/>
      <c r="F1245" s="130">
        <f t="shared" ref="F1245:F1249" si="243">IF(E1245="",0,IF(E1245&gt;0,RANK(E1245,$E$1236:$E$1249,1)))</f>
        <v>0</v>
      </c>
      <c r="G1245" s="131">
        <f t="shared" ref="G1245:G1249" si="244">VLOOKUP(F1245,$L$3:$M$33,2,0)</f>
        <v>0</v>
      </c>
      <c r="I1245" s="110"/>
    </row>
    <row r="1246" spans="1:11" ht="16.350000000000001" customHeight="1">
      <c r="A1246" s="45">
        <v>3</v>
      </c>
      <c r="B1246" s="120" t="s">
        <v>513</v>
      </c>
      <c r="C1246" s="120" t="s">
        <v>88</v>
      </c>
      <c r="D1246" s="3"/>
      <c r="E1246" s="11"/>
      <c r="F1246" s="130">
        <f t="shared" si="243"/>
        <v>0</v>
      </c>
      <c r="G1246" s="131">
        <f t="shared" si="244"/>
        <v>0</v>
      </c>
      <c r="I1246" s="110"/>
    </row>
    <row r="1247" spans="1:11" ht="16.350000000000001" customHeight="1">
      <c r="A1247" s="45">
        <v>5</v>
      </c>
      <c r="B1247" s="120" t="s">
        <v>703</v>
      </c>
      <c r="C1247" s="120" t="s">
        <v>60</v>
      </c>
      <c r="D1247" s="15"/>
      <c r="E1247" s="11"/>
      <c r="F1247" s="130">
        <f t="shared" si="243"/>
        <v>0</v>
      </c>
      <c r="G1247" s="131">
        <f t="shared" si="244"/>
        <v>0</v>
      </c>
      <c r="I1247" s="110"/>
    </row>
    <row r="1248" spans="1:11" ht="16.350000000000001" customHeight="1">
      <c r="A1248" s="45">
        <v>4</v>
      </c>
      <c r="B1248" s="120" t="s">
        <v>704</v>
      </c>
      <c r="C1248" s="120" t="s">
        <v>479</v>
      </c>
      <c r="D1248" s="15"/>
      <c r="E1248" s="11"/>
      <c r="F1248" s="130">
        <f t="shared" si="243"/>
        <v>0</v>
      </c>
      <c r="G1248" s="131">
        <f t="shared" si="244"/>
        <v>0</v>
      </c>
      <c r="I1248" s="110"/>
    </row>
    <row r="1249" spans="1:9" ht="16.350000000000001" customHeight="1">
      <c r="A1249" s="45">
        <v>6</v>
      </c>
      <c r="B1249" s="120" t="s">
        <v>705</v>
      </c>
      <c r="C1249" s="120" t="s">
        <v>84</v>
      </c>
      <c r="D1249" s="15"/>
      <c r="E1249" s="11"/>
      <c r="F1249" s="130">
        <f t="shared" si="243"/>
        <v>0</v>
      </c>
      <c r="G1249" s="131">
        <f t="shared" si="244"/>
        <v>0</v>
      </c>
      <c r="I1249" s="110"/>
    </row>
    <row r="1250" spans="1:9" ht="16.350000000000001" customHeight="1">
      <c r="A1250" s="47" t="s">
        <v>706</v>
      </c>
      <c r="B1250" s="18"/>
      <c r="C1250" s="18"/>
      <c r="G1250" s="48"/>
      <c r="I1250" s="110"/>
    </row>
    <row r="1251" spans="1:9" ht="16.350000000000001" customHeight="1">
      <c r="A1251" s="43" t="s">
        <v>0</v>
      </c>
      <c r="B1251" s="7" t="s">
        <v>1</v>
      </c>
      <c r="C1251" s="8" t="s">
        <v>4</v>
      </c>
      <c r="D1251" s="7" t="s">
        <v>2</v>
      </c>
      <c r="E1251" s="7" t="s">
        <v>6</v>
      </c>
      <c r="F1251" s="128" t="s">
        <v>7</v>
      </c>
      <c r="G1251" s="129" t="s">
        <v>8</v>
      </c>
      <c r="I1251" s="110"/>
    </row>
    <row r="1252" spans="1:9" ht="16.350000000000001" customHeight="1">
      <c r="A1252" s="45">
        <v>1</v>
      </c>
      <c r="B1252" s="126" t="s">
        <v>421</v>
      </c>
      <c r="C1252" s="126" t="s">
        <v>708</v>
      </c>
      <c r="D1252" s="15"/>
      <c r="E1252" s="11"/>
      <c r="F1252" s="130">
        <f>IF(E1252="",0,IF(E1252&gt;0,RANK(E1252,$E$1252:$E$1265,1)))</f>
        <v>0</v>
      </c>
      <c r="G1252" s="131">
        <f>VLOOKUP(F1252,$L$3:$M$33,2,0)</f>
        <v>0</v>
      </c>
      <c r="I1252" s="110"/>
    </row>
    <row r="1253" spans="1:9" ht="16.350000000000001" customHeight="1">
      <c r="A1253" s="45">
        <v>2</v>
      </c>
      <c r="B1253" s="126" t="s">
        <v>709</v>
      </c>
      <c r="C1253" s="126" t="s">
        <v>479</v>
      </c>
      <c r="D1253" s="15"/>
      <c r="E1253" s="11"/>
      <c r="F1253" s="130">
        <f t="shared" ref="F1253:F1257" si="245">IF(E1253="",0,IF(E1253&gt;0,RANK(E1253,$E$1252:$E$1265,1)))</f>
        <v>0</v>
      </c>
      <c r="G1253" s="131">
        <f t="shared" ref="G1253:G1257" si="246">VLOOKUP(F1253,$L$3:$M$33,2,0)</f>
        <v>0</v>
      </c>
      <c r="I1253" s="110"/>
    </row>
    <row r="1254" spans="1:9" ht="16.350000000000001" customHeight="1">
      <c r="A1254" s="45">
        <v>3</v>
      </c>
      <c r="B1254" s="126" t="s">
        <v>633</v>
      </c>
      <c r="C1254" s="126" t="s">
        <v>710</v>
      </c>
      <c r="D1254" s="15"/>
      <c r="E1254" s="11"/>
      <c r="F1254" s="130">
        <f t="shared" si="245"/>
        <v>0</v>
      </c>
      <c r="G1254" s="131">
        <f t="shared" si="246"/>
        <v>0</v>
      </c>
      <c r="I1254" s="110"/>
    </row>
    <row r="1255" spans="1:9" ht="16.350000000000001" customHeight="1">
      <c r="A1255" s="45">
        <v>5</v>
      </c>
      <c r="B1255" s="120" t="s">
        <v>423</v>
      </c>
      <c r="C1255" s="120" t="s">
        <v>64</v>
      </c>
      <c r="D1255" s="15"/>
      <c r="E1255" s="11"/>
      <c r="F1255" s="130">
        <f t="shared" si="245"/>
        <v>0</v>
      </c>
      <c r="G1255" s="131">
        <f t="shared" si="246"/>
        <v>0</v>
      </c>
      <c r="I1255" s="110"/>
    </row>
    <row r="1256" spans="1:9" ht="16.350000000000001" customHeight="1">
      <c r="A1256" s="45">
        <v>4</v>
      </c>
      <c r="B1256" s="127" t="s">
        <v>424</v>
      </c>
      <c r="C1256" s="120" t="s">
        <v>64</v>
      </c>
      <c r="D1256" s="15"/>
      <c r="E1256" s="11"/>
      <c r="F1256" s="130">
        <f t="shared" si="245"/>
        <v>0</v>
      </c>
      <c r="G1256" s="131">
        <f t="shared" si="246"/>
        <v>0</v>
      </c>
      <c r="I1256" s="110"/>
    </row>
    <row r="1257" spans="1:9" ht="16.350000000000001" customHeight="1">
      <c r="A1257" s="45">
        <v>6</v>
      </c>
      <c r="B1257" s="127" t="s">
        <v>635</v>
      </c>
      <c r="C1257" s="120" t="s">
        <v>64</v>
      </c>
      <c r="D1257" s="15"/>
      <c r="E1257" s="11"/>
      <c r="F1257" s="130">
        <f t="shared" si="245"/>
        <v>0</v>
      </c>
      <c r="G1257" s="131">
        <f t="shared" si="246"/>
        <v>0</v>
      </c>
      <c r="I1257" s="110"/>
    </row>
    <row r="1258" spans="1:9" ht="16.350000000000001" customHeight="1">
      <c r="A1258" s="47" t="s">
        <v>707</v>
      </c>
      <c r="B1258" s="18"/>
      <c r="C1258" s="18"/>
      <c r="F1258" s="133"/>
      <c r="G1258" s="132"/>
      <c r="I1258" s="110"/>
    </row>
    <row r="1259" spans="1:9" ht="16.350000000000001" customHeight="1">
      <c r="A1259" s="43" t="s">
        <v>0</v>
      </c>
      <c r="B1259" s="7" t="s">
        <v>1</v>
      </c>
      <c r="C1259" s="8" t="s">
        <v>4</v>
      </c>
      <c r="D1259" s="7" t="s">
        <v>2</v>
      </c>
      <c r="E1259" s="7" t="s">
        <v>6</v>
      </c>
      <c r="F1259" s="128" t="s">
        <v>7</v>
      </c>
      <c r="G1259" s="129" t="s">
        <v>8</v>
      </c>
      <c r="I1259" s="110"/>
    </row>
    <row r="1260" spans="1:9" ht="16.350000000000001" customHeight="1">
      <c r="A1260" s="45">
        <v>1</v>
      </c>
      <c r="B1260" s="120" t="s">
        <v>711</v>
      </c>
      <c r="C1260" s="120" t="s">
        <v>64</v>
      </c>
      <c r="D1260" s="15"/>
      <c r="E1260" s="11"/>
      <c r="F1260" s="130">
        <f>IF(E1260="",0,IF(E1260&gt;0,RANK(E1260,$E$1252:$E$1265,1)))</f>
        <v>0</v>
      </c>
      <c r="G1260" s="131">
        <f>VLOOKUP(F1260,$L$3:$M$33,2,0)</f>
        <v>0</v>
      </c>
      <c r="I1260" s="110"/>
    </row>
    <row r="1261" spans="1:9" ht="16.350000000000001" customHeight="1">
      <c r="A1261" s="45">
        <v>2</v>
      </c>
      <c r="B1261" s="120" t="s">
        <v>712</v>
      </c>
      <c r="C1261" s="120" t="s">
        <v>60</v>
      </c>
      <c r="D1261" s="15"/>
      <c r="E1261" s="11"/>
      <c r="F1261" s="130">
        <f t="shared" ref="F1261:F1265" si="247">IF(E1261="",0,IF(E1261&gt;0,RANK(E1261,$E$1252:$E$1265,1)))</f>
        <v>0</v>
      </c>
      <c r="G1261" s="131">
        <f t="shared" ref="G1261:G1265" si="248">VLOOKUP(F1261,$L$3:$M$33,2,0)</f>
        <v>0</v>
      </c>
      <c r="I1261" s="110"/>
    </row>
    <row r="1262" spans="1:9" ht="16.350000000000001" customHeight="1">
      <c r="A1262" s="45">
        <v>3</v>
      </c>
      <c r="B1262" s="126" t="s">
        <v>713</v>
      </c>
      <c r="C1262" s="126" t="s">
        <v>413</v>
      </c>
      <c r="D1262" s="15"/>
      <c r="E1262" s="11"/>
      <c r="F1262" s="130">
        <f t="shared" si="247"/>
        <v>0</v>
      </c>
      <c r="G1262" s="131">
        <f t="shared" si="248"/>
        <v>0</v>
      </c>
      <c r="I1262" s="110"/>
    </row>
    <row r="1263" spans="1:9" ht="16.350000000000001" customHeight="1">
      <c r="A1263" s="45">
        <v>5</v>
      </c>
      <c r="B1263" s="120" t="s">
        <v>714</v>
      </c>
      <c r="C1263" s="120" t="s">
        <v>495</v>
      </c>
      <c r="D1263" s="15"/>
      <c r="E1263" s="11"/>
      <c r="F1263" s="130">
        <f t="shared" si="247"/>
        <v>0</v>
      </c>
      <c r="G1263" s="131">
        <f t="shared" si="248"/>
        <v>0</v>
      </c>
      <c r="I1263" s="110"/>
    </row>
    <row r="1264" spans="1:9" ht="16.350000000000001" customHeight="1">
      <c r="A1264" s="45">
        <v>4</v>
      </c>
      <c r="B1264" s="120" t="s">
        <v>715</v>
      </c>
      <c r="C1264" s="120" t="s">
        <v>84</v>
      </c>
      <c r="D1264" s="15"/>
      <c r="E1264" s="11"/>
      <c r="F1264" s="130">
        <f t="shared" si="247"/>
        <v>0</v>
      </c>
      <c r="G1264" s="131">
        <f t="shared" si="248"/>
        <v>0</v>
      </c>
      <c r="I1264" s="110"/>
    </row>
    <row r="1265" spans="1:11" ht="16.350000000000001" customHeight="1">
      <c r="A1265" s="45">
        <v>6</v>
      </c>
      <c r="B1265" s="75"/>
      <c r="C1265" s="75"/>
      <c r="D1265" s="15"/>
      <c r="E1265" s="11"/>
      <c r="F1265" s="130">
        <f t="shared" si="247"/>
        <v>0</v>
      </c>
      <c r="G1265" s="131">
        <f t="shared" si="248"/>
        <v>0</v>
      </c>
      <c r="I1265" s="110"/>
    </row>
    <row r="1266" spans="1:11" ht="16.350000000000001" customHeight="1">
      <c r="A1266" s="47" t="s">
        <v>716</v>
      </c>
      <c r="B1266" s="5"/>
      <c r="C1266" s="4"/>
      <c r="G1266" s="48"/>
    </row>
    <row r="1267" spans="1:11" ht="16.350000000000001" customHeight="1">
      <c r="A1267" s="43" t="s">
        <v>0</v>
      </c>
      <c r="B1267" s="7" t="s">
        <v>1</v>
      </c>
      <c r="C1267" s="8" t="s">
        <v>4</v>
      </c>
      <c r="D1267" s="7" t="s">
        <v>2</v>
      </c>
      <c r="E1267" s="7" t="s">
        <v>6</v>
      </c>
      <c r="F1267" s="128" t="s">
        <v>7</v>
      </c>
      <c r="G1267" s="129" t="s">
        <v>8</v>
      </c>
      <c r="I1267" s="110"/>
    </row>
    <row r="1268" spans="1:11" ht="16.350000000000001" customHeight="1">
      <c r="A1268" s="45">
        <v>1</v>
      </c>
      <c r="B1268" s="126" t="s">
        <v>718</v>
      </c>
      <c r="C1268" s="126" t="s">
        <v>413</v>
      </c>
      <c r="D1268" s="9"/>
      <c r="E1268" s="9"/>
      <c r="F1268" s="130">
        <f>IF(E1268="",0,IF(E1268&gt;0,RANK(E1268,$E$1268:$E$1281,1)))</f>
        <v>0</v>
      </c>
      <c r="G1268" s="131">
        <f>VLOOKUP(F1268,$L$3:$M$33,2,0)</f>
        <v>0</v>
      </c>
      <c r="I1268" s="110"/>
    </row>
    <row r="1269" spans="1:11" ht="16.350000000000001" customHeight="1">
      <c r="A1269" s="45">
        <v>2</v>
      </c>
      <c r="B1269" s="120" t="s">
        <v>719</v>
      </c>
      <c r="C1269" s="120" t="s">
        <v>53</v>
      </c>
      <c r="D1269" s="9"/>
      <c r="E1269" s="9"/>
      <c r="F1269" s="130">
        <f t="shared" ref="F1269:F1273" si="249">IF(E1269="",0,IF(E1269&gt;0,RANK(E1269,$E$1268:$E$1281,1)))</f>
        <v>0</v>
      </c>
      <c r="G1269" s="131">
        <f t="shared" ref="G1269:G1273" si="250">VLOOKUP(F1269,$L$3:$M$33,2,0)</f>
        <v>0</v>
      </c>
      <c r="H1269" s="31">
        <v>791016</v>
      </c>
      <c r="I1269" s="111"/>
      <c r="J1269" s="101"/>
      <c r="K1269" s="101"/>
    </row>
    <row r="1270" spans="1:11" ht="16.350000000000001" customHeight="1">
      <c r="A1270" s="45">
        <v>3</v>
      </c>
      <c r="B1270" s="120" t="s">
        <v>720</v>
      </c>
      <c r="C1270" s="120" t="s">
        <v>14</v>
      </c>
      <c r="D1270" s="9"/>
      <c r="E1270" s="9"/>
      <c r="F1270" s="130">
        <f t="shared" si="249"/>
        <v>0</v>
      </c>
      <c r="G1270" s="131">
        <f t="shared" si="250"/>
        <v>0</v>
      </c>
      <c r="H1270" s="31">
        <v>800207</v>
      </c>
      <c r="I1270" s="111"/>
      <c r="J1270" s="101"/>
      <c r="K1270" s="101"/>
    </row>
    <row r="1271" spans="1:11" ht="16.350000000000001" customHeight="1">
      <c r="A1271" s="45">
        <v>4</v>
      </c>
      <c r="B1271" s="120" t="s">
        <v>721</v>
      </c>
      <c r="C1271" s="120" t="s">
        <v>495</v>
      </c>
      <c r="D1271" s="9"/>
      <c r="E1271" s="9"/>
      <c r="F1271" s="130">
        <f t="shared" si="249"/>
        <v>0</v>
      </c>
      <c r="G1271" s="131">
        <f t="shared" si="250"/>
        <v>0</v>
      </c>
      <c r="H1271" s="31">
        <v>770102</v>
      </c>
      <c r="I1271" s="111"/>
      <c r="J1271" s="101"/>
      <c r="K1271" s="101"/>
    </row>
    <row r="1272" spans="1:11" ht="16.350000000000001" customHeight="1">
      <c r="A1272" s="45">
        <v>5</v>
      </c>
      <c r="B1272" s="120" t="s">
        <v>722</v>
      </c>
      <c r="C1272" s="120" t="s">
        <v>495</v>
      </c>
      <c r="D1272" s="9"/>
      <c r="E1272" s="9"/>
      <c r="F1272" s="130">
        <f t="shared" si="249"/>
        <v>0</v>
      </c>
      <c r="G1272" s="131">
        <f t="shared" si="250"/>
        <v>0</v>
      </c>
      <c r="H1272" s="31">
        <v>800328</v>
      </c>
      <c r="I1272" s="111"/>
      <c r="J1272" s="101"/>
      <c r="K1272" s="101"/>
    </row>
    <row r="1273" spans="1:11" ht="16.350000000000001" customHeight="1">
      <c r="A1273" s="45">
        <v>6</v>
      </c>
      <c r="B1273" s="120" t="s">
        <v>723</v>
      </c>
      <c r="C1273" s="120" t="s">
        <v>444</v>
      </c>
      <c r="D1273" s="3"/>
      <c r="E1273" s="9"/>
      <c r="F1273" s="130">
        <f t="shared" si="249"/>
        <v>0</v>
      </c>
      <c r="G1273" s="131">
        <f t="shared" si="250"/>
        <v>0</v>
      </c>
      <c r="I1273" s="110"/>
    </row>
    <row r="1274" spans="1:11" ht="16.350000000000001" customHeight="1">
      <c r="A1274" s="47" t="s">
        <v>717</v>
      </c>
      <c r="B1274" s="5"/>
      <c r="C1274" s="4"/>
      <c r="F1274" s="133"/>
      <c r="G1274" s="132"/>
      <c r="I1274" s="110"/>
    </row>
    <row r="1275" spans="1:11" ht="16.350000000000001" customHeight="1">
      <c r="A1275" s="43" t="s">
        <v>0</v>
      </c>
      <c r="B1275" s="7" t="s">
        <v>1</v>
      </c>
      <c r="C1275" s="8" t="s">
        <v>4</v>
      </c>
      <c r="D1275" s="7" t="s">
        <v>2</v>
      </c>
      <c r="E1275" s="7" t="s">
        <v>6</v>
      </c>
      <c r="F1275" s="128" t="s">
        <v>7</v>
      </c>
      <c r="G1275" s="129" t="s">
        <v>8</v>
      </c>
      <c r="I1275" s="110"/>
    </row>
    <row r="1276" spans="1:11" ht="16.350000000000001" customHeight="1">
      <c r="A1276" s="45">
        <v>1</v>
      </c>
      <c r="B1276" s="120" t="s">
        <v>724</v>
      </c>
      <c r="C1276" s="120" t="s">
        <v>13</v>
      </c>
      <c r="D1276" s="9"/>
      <c r="E1276" s="9"/>
      <c r="F1276" s="130">
        <f>IF(E1276="",0,IF(E1276&gt;0,RANK(E1276,$E$1268:$E$1281,1)))</f>
        <v>0</v>
      </c>
      <c r="G1276" s="131">
        <f>VLOOKUP(F1276,$L$3:$M$33,2,0)</f>
        <v>0</v>
      </c>
      <c r="I1276" s="110"/>
    </row>
    <row r="1277" spans="1:11" ht="16.350000000000001" customHeight="1">
      <c r="A1277" s="45">
        <v>2</v>
      </c>
      <c r="B1277" s="120" t="s">
        <v>437</v>
      </c>
      <c r="C1277" s="120" t="s">
        <v>13</v>
      </c>
      <c r="D1277" s="9"/>
      <c r="E1277" s="9"/>
      <c r="F1277" s="130">
        <f t="shared" ref="F1277:F1281" si="251">IF(E1277="",0,IF(E1277&gt;0,RANK(E1277,$E$1268:$E$1281,1)))</f>
        <v>0</v>
      </c>
      <c r="G1277" s="131">
        <f t="shared" ref="G1277:G1281" si="252">VLOOKUP(F1277,$L$3:$M$33,2,0)</f>
        <v>0</v>
      </c>
      <c r="H1277" s="31">
        <v>791016</v>
      </c>
      <c r="I1277" s="111"/>
      <c r="J1277" s="101"/>
      <c r="K1277" s="101"/>
    </row>
    <row r="1278" spans="1:11" ht="16.350000000000001" customHeight="1">
      <c r="A1278" s="45">
        <v>3</v>
      </c>
      <c r="B1278" s="120" t="s">
        <v>725</v>
      </c>
      <c r="C1278" s="120" t="s">
        <v>88</v>
      </c>
      <c r="D1278" s="9"/>
      <c r="E1278" s="9"/>
      <c r="F1278" s="130">
        <f t="shared" si="251"/>
        <v>0</v>
      </c>
      <c r="G1278" s="131">
        <f t="shared" si="252"/>
        <v>0</v>
      </c>
      <c r="H1278" s="31">
        <v>800207</v>
      </c>
      <c r="I1278" s="111"/>
      <c r="J1278" s="101"/>
      <c r="K1278" s="101"/>
    </row>
    <row r="1279" spans="1:11" ht="16.350000000000001" customHeight="1">
      <c r="A1279" s="45">
        <v>4</v>
      </c>
      <c r="B1279" s="126" t="s">
        <v>726</v>
      </c>
      <c r="C1279" s="126" t="s">
        <v>479</v>
      </c>
      <c r="D1279" s="9"/>
      <c r="E1279" s="9"/>
      <c r="F1279" s="130">
        <f t="shared" si="251"/>
        <v>0</v>
      </c>
      <c r="G1279" s="131">
        <f t="shared" si="252"/>
        <v>0</v>
      </c>
      <c r="H1279" s="31">
        <v>770102</v>
      </c>
      <c r="I1279" s="111"/>
      <c r="J1279" s="101"/>
      <c r="K1279" s="101"/>
    </row>
    <row r="1280" spans="1:11" ht="16.350000000000001" customHeight="1">
      <c r="A1280" s="45">
        <v>5</v>
      </c>
      <c r="B1280" s="120" t="s">
        <v>727</v>
      </c>
      <c r="C1280" s="120" t="s">
        <v>495</v>
      </c>
      <c r="D1280" s="9"/>
      <c r="E1280" s="9"/>
      <c r="F1280" s="130">
        <f t="shared" si="251"/>
        <v>0</v>
      </c>
      <c r="G1280" s="131">
        <f t="shared" si="252"/>
        <v>0</v>
      </c>
      <c r="H1280" s="31">
        <v>800328</v>
      </c>
      <c r="I1280" s="111"/>
      <c r="J1280" s="101"/>
      <c r="K1280" s="101"/>
    </row>
    <row r="1281" spans="1:11" ht="16.350000000000001" customHeight="1">
      <c r="A1281" s="45">
        <v>6</v>
      </c>
      <c r="B1281" s="120" t="s">
        <v>728</v>
      </c>
      <c r="C1281" s="120" t="s">
        <v>84</v>
      </c>
      <c r="D1281" s="9"/>
      <c r="E1281" s="9"/>
      <c r="F1281" s="130">
        <f t="shared" si="251"/>
        <v>0</v>
      </c>
      <c r="G1281" s="131">
        <f t="shared" si="252"/>
        <v>0</v>
      </c>
      <c r="I1281" s="110"/>
    </row>
    <row r="1282" spans="1:11" ht="16.350000000000001" customHeight="1">
      <c r="A1282" s="47" t="s">
        <v>729</v>
      </c>
      <c r="B1282" s="5"/>
      <c r="C1282" s="4"/>
      <c r="G1282" s="48"/>
      <c r="I1282" s="110"/>
    </row>
    <row r="1283" spans="1:11" ht="16.350000000000001" customHeight="1">
      <c r="A1283" s="43" t="s">
        <v>0</v>
      </c>
      <c r="B1283" s="7" t="s">
        <v>1</v>
      </c>
      <c r="C1283" s="8" t="s">
        <v>4</v>
      </c>
      <c r="D1283" s="7" t="s">
        <v>2</v>
      </c>
      <c r="E1283" s="7" t="s">
        <v>6</v>
      </c>
      <c r="F1283" s="7" t="s">
        <v>7</v>
      </c>
      <c r="G1283" s="44" t="s">
        <v>8</v>
      </c>
      <c r="I1283" s="110"/>
    </row>
    <row r="1284" spans="1:11" ht="16.350000000000001" customHeight="1">
      <c r="A1284" s="45">
        <v>1</v>
      </c>
      <c r="B1284" s="127"/>
      <c r="C1284" s="120"/>
      <c r="D1284" s="9"/>
      <c r="E1284" s="9"/>
      <c r="F1284" s="10">
        <f>IF(E1284="",0,IF(E1284&gt;0,RANK(E1284,$E$1284:$E$1289,1)))</f>
        <v>0</v>
      </c>
      <c r="G1284" s="46">
        <f>VLOOKUP(F1284,$L$3:$M$33,2,0)</f>
        <v>0</v>
      </c>
      <c r="I1284" s="110"/>
    </row>
    <row r="1285" spans="1:11" ht="16.350000000000001" customHeight="1">
      <c r="A1285" s="45">
        <v>2</v>
      </c>
      <c r="B1285" s="127" t="s">
        <v>447</v>
      </c>
      <c r="C1285" s="120" t="s">
        <v>14</v>
      </c>
      <c r="D1285" s="9"/>
      <c r="E1285" s="9"/>
      <c r="F1285" s="10">
        <f t="shared" ref="F1285:F1289" si="253">IF(E1285="",0,IF(E1285&gt;0,RANK(E1285,$E$1284:$E$1289,1)))</f>
        <v>0</v>
      </c>
      <c r="G1285" s="46">
        <f t="shared" ref="G1285:G1289" si="254">VLOOKUP(F1285,$L$3:$M$33,2,0)</f>
        <v>0</v>
      </c>
      <c r="H1285" s="31">
        <v>791016</v>
      </c>
      <c r="I1285" s="111"/>
      <c r="J1285" s="101"/>
      <c r="K1285" s="101"/>
    </row>
    <row r="1286" spans="1:11" ht="16.350000000000001" customHeight="1">
      <c r="A1286" s="45">
        <v>3</v>
      </c>
      <c r="B1286" s="120" t="s">
        <v>537</v>
      </c>
      <c r="C1286" s="120" t="s">
        <v>495</v>
      </c>
      <c r="D1286" s="9"/>
      <c r="E1286" s="9"/>
      <c r="F1286" s="10">
        <f t="shared" si="253"/>
        <v>0</v>
      </c>
      <c r="G1286" s="46">
        <f t="shared" si="254"/>
        <v>0</v>
      </c>
      <c r="H1286" s="31">
        <v>800207</v>
      </c>
      <c r="I1286" s="111"/>
      <c r="J1286" s="101"/>
      <c r="K1286" s="101"/>
    </row>
    <row r="1287" spans="1:11" ht="16.350000000000001" customHeight="1">
      <c r="A1287" s="45">
        <v>4</v>
      </c>
      <c r="B1287" s="120" t="s">
        <v>730</v>
      </c>
      <c r="C1287" s="120" t="s">
        <v>407</v>
      </c>
      <c r="D1287" s="9"/>
      <c r="E1287" s="9"/>
      <c r="F1287" s="10">
        <f t="shared" si="253"/>
        <v>0</v>
      </c>
      <c r="G1287" s="46">
        <f t="shared" si="254"/>
        <v>0</v>
      </c>
      <c r="H1287" s="31">
        <v>770102</v>
      </c>
      <c r="I1287" s="111"/>
      <c r="J1287" s="101"/>
      <c r="K1287" s="101"/>
    </row>
    <row r="1288" spans="1:11" ht="16.350000000000001" customHeight="1">
      <c r="A1288" s="45">
        <v>5</v>
      </c>
      <c r="B1288" s="120"/>
      <c r="C1288" s="120"/>
      <c r="D1288" s="9"/>
      <c r="E1288" s="9"/>
      <c r="F1288" s="10">
        <f t="shared" si="253"/>
        <v>0</v>
      </c>
      <c r="G1288" s="46">
        <f t="shared" si="254"/>
        <v>0</v>
      </c>
      <c r="H1288" s="31">
        <v>800328</v>
      </c>
      <c r="I1288" s="111"/>
      <c r="J1288" s="101"/>
      <c r="K1288" s="101"/>
    </row>
    <row r="1289" spans="1:11" ht="16.350000000000001" customHeight="1">
      <c r="A1289" s="45">
        <v>6</v>
      </c>
      <c r="B1289" s="1"/>
      <c r="C1289" s="2"/>
      <c r="D1289" s="9"/>
      <c r="E1289" s="9"/>
      <c r="F1289" s="10">
        <f t="shared" si="253"/>
        <v>0</v>
      </c>
      <c r="G1289" s="46">
        <f t="shared" si="254"/>
        <v>0</v>
      </c>
      <c r="I1289" s="110"/>
    </row>
    <row r="1290" spans="1:11" ht="16.350000000000001" customHeight="1">
      <c r="A1290" s="47" t="s">
        <v>731</v>
      </c>
      <c r="B1290" s="5"/>
      <c r="C1290" s="4"/>
      <c r="G1290" s="48"/>
    </row>
    <row r="1291" spans="1:11" ht="16.350000000000001" customHeight="1">
      <c r="A1291" s="43" t="s">
        <v>0</v>
      </c>
      <c r="B1291" s="7" t="s">
        <v>1</v>
      </c>
      <c r="C1291" s="8" t="s">
        <v>4</v>
      </c>
      <c r="D1291" s="7" t="s">
        <v>2</v>
      </c>
      <c r="E1291" s="7" t="s">
        <v>6</v>
      </c>
      <c r="F1291" s="7" t="s">
        <v>7</v>
      </c>
      <c r="G1291" s="44" t="s">
        <v>8</v>
      </c>
    </row>
    <row r="1292" spans="1:11" ht="16.350000000000001" customHeight="1">
      <c r="A1292" s="45">
        <v>1</v>
      </c>
      <c r="B1292" s="90"/>
      <c r="C1292" s="23"/>
      <c r="D1292" s="9"/>
      <c r="E1292" s="9"/>
      <c r="F1292" s="10">
        <f>IF(E1292="",0,IF(E1292&gt;0,RANK(E1292,E1292:E1297,1)))</f>
        <v>0</v>
      </c>
      <c r="G1292" s="46">
        <f>VLOOKUP(F1292,$L$3:$M$33,2,0)</f>
        <v>0</v>
      </c>
    </row>
    <row r="1293" spans="1:11" ht="16.350000000000001" customHeight="1">
      <c r="A1293" s="45">
        <v>2</v>
      </c>
      <c r="B1293" s="90"/>
      <c r="C1293" s="23"/>
      <c r="D1293" s="9"/>
      <c r="E1293" s="9"/>
      <c r="F1293" s="10">
        <f>IF(E1293="",0,IF(E1293&gt;0,RANK(E1293,E1292:E1297,1)))</f>
        <v>0</v>
      </c>
      <c r="G1293" s="46">
        <f t="shared" ref="G1293:G1297" si="255">VLOOKUP(F1293,$L$3:$M$33,2,0)</f>
        <v>0</v>
      </c>
      <c r="H1293" s="31">
        <v>791016</v>
      </c>
      <c r="I1293" s="101"/>
      <c r="J1293" s="101"/>
      <c r="K1293" s="101"/>
    </row>
    <row r="1294" spans="1:11" ht="16.350000000000001" customHeight="1">
      <c r="A1294" s="45">
        <v>3</v>
      </c>
      <c r="B1294" s="120" t="s">
        <v>542</v>
      </c>
      <c r="C1294" s="120" t="s">
        <v>732</v>
      </c>
      <c r="D1294" s="9"/>
      <c r="E1294" s="9"/>
      <c r="F1294" s="10">
        <f>IF(E1294="",0,IF(E1294&gt;0,RANK(E1294,E1292:E1297,1)))</f>
        <v>0</v>
      </c>
      <c r="G1294" s="46">
        <f t="shared" si="255"/>
        <v>0</v>
      </c>
      <c r="H1294" s="31">
        <v>800207</v>
      </c>
      <c r="I1294" s="101"/>
      <c r="J1294" s="101"/>
      <c r="K1294" s="101"/>
    </row>
    <row r="1295" spans="1:11" ht="16.350000000000001" customHeight="1">
      <c r="A1295" s="45">
        <v>4</v>
      </c>
      <c r="B1295" s="85"/>
      <c r="C1295" s="85"/>
      <c r="D1295" s="9"/>
      <c r="E1295" s="9"/>
      <c r="F1295" s="10">
        <f>IF(E1295="",0,IF(E1295&gt;0,RANK(E1295,E1292:E1297,1)))</f>
        <v>0</v>
      </c>
      <c r="G1295" s="46">
        <f t="shared" si="255"/>
        <v>0</v>
      </c>
      <c r="H1295" s="31">
        <v>770102</v>
      </c>
      <c r="I1295" s="101"/>
      <c r="J1295" s="101"/>
      <c r="K1295" s="101"/>
    </row>
    <row r="1296" spans="1:11" ht="16.350000000000001" customHeight="1">
      <c r="A1296" s="45">
        <v>5</v>
      </c>
      <c r="B1296" s="74"/>
      <c r="C1296" s="74"/>
      <c r="D1296" s="9"/>
      <c r="E1296" s="9"/>
      <c r="F1296" s="10">
        <f>IF(E1296="",0,IF(E1296&gt;0,RANK(E1296,E1292:E1297,1)))</f>
        <v>0</v>
      </c>
      <c r="G1296" s="46">
        <f t="shared" si="255"/>
        <v>0</v>
      </c>
      <c r="H1296" s="31">
        <v>800328</v>
      </c>
      <c r="I1296" s="101"/>
      <c r="J1296" s="101"/>
      <c r="K1296" s="101"/>
    </row>
    <row r="1297" spans="1:11" ht="16.350000000000001" customHeight="1">
      <c r="A1297" s="45">
        <v>6</v>
      </c>
      <c r="B1297" s="76"/>
      <c r="C1297" s="76"/>
      <c r="D1297" s="9"/>
      <c r="E1297" s="9"/>
      <c r="F1297" s="10">
        <f>IF(E1297="",0,IF(E1297&gt;0,RANK(E1297,E1292:E1297,1)))</f>
        <v>0</v>
      </c>
      <c r="G1297" s="46">
        <f t="shared" si="255"/>
        <v>0</v>
      </c>
    </row>
    <row r="1298" spans="1:11" ht="16.350000000000001" customHeight="1">
      <c r="A1298" s="47" t="s">
        <v>733</v>
      </c>
      <c r="B1298" s="5"/>
      <c r="C1298" s="4"/>
      <c r="G1298" s="48"/>
    </row>
    <row r="1299" spans="1:11" ht="16.350000000000001" customHeight="1">
      <c r="A1299" s="43" t="s">
        <v>0</v>
      </c>
      <c r="B1299" s="7" t="s">
        <v>1</v>
      </c>
      <c r="C1299" s="8" t="s">
        <v>4</v>
      </c>
      <c r="D1299" s="7" t="s">
        <v>2</v>
      </c>
      <c r="E1299" s="7" t="s">
        <v>6</v>
      </c>
      <c r="F1299" s="128" t="s">
        <v>7</v>
      </c>
      <c r="G1299" s="129" t="s">
        <v>8</v>
      </c>
    </row>
    <row r="1300" spans="1:11" ht="16.350000000000001" customHeight="1">
      <c r="A1300" s="45">
        <v>1</v>
      </c>
      <c r="B1300" s="127" t="s">
        <v>735</v>
      </c>
      <c r="C1300" s="120" t="s">
        <v>64</v>
      </c>
      <c r="D1300" s="9"/>
      <c r="E1300" s="9"/>
      <c r="F1300" s="130">
        <f>IF(E1300="",0,IF(E1300&gt;0,RANK(E1300,E1300:E1321,1)))</f>
        <v>0</v>
      </c>
      <c r="G1300" s="131">
        <f>VLOOKUP(F1300,$L$3:$M$33,2,0)</f>
        <v>0</v>
      </c>
    </row>
    <row r="1301" spans="1:11" ht="16.350000000000001" customHeight="1">
      <c r="A1301" s="45">
        <v>2</v>
      </c>
      <c r="B1301" s="120" t="s">
        <v>458</v>
      </c>
      <c r="C1301" s="120" t="s">
        <v>269</v>
      </c>
      <c r="D1301" s="9"/>
      <c r="E1301" s="9"/>
      <c r="F1301" s="130">
        <f>IF(E1301="",0,IF(E1301&gt;0,RANK(E1301,E1300:E1321,1)))</f>
        <v>0</v>
      </c>
      <c r="G1301" s="131">
        <f t="shared" ref="G1301:G1305" si="256">VLOOKUP(F1301,$L$3:$M$33,2,0)</f>
        <v>0</v>
      </c>
      <c r="H1301" s="31">
        <v>791016</v>
      </c>
      <c r="I1301" s="101"/>
      <c r="J1301" s="101"/>
      <c r="K1301" s="101"/>
    </row>
    <row r="1302" spans="1:11" ht="16.350000000000001" customHeight="1">
      <c r="A1302" s="45">
        <v>3</v>
      </c>
      <c r="B1302" s="120" t="s">
        <v>736</v>
      </c>
      <c r="C1302" s="120" t="s">
        <v>269</v>
      </c>
      <c r="D1302" s="9"/>
      <c r="E1302" s="9"/>
      <c r="F1302" s="130">
        <f>IF(E1302="",0,IF(E1302&gt;0,RANK(E1302,E1300:E1321,1)))</f>
        <v>0</v>
      </c>
      <c r="G1302" s="131">
        <f t="shared" si="256"/>
        <v>0</v>
      </c>
      <c r="H1302" s="31">
        <v>800207</v>
      </c>
      <c r="I1302" s="101"/>
      <c r="J1302" s="101"/>
      <c r="K1302" s="101"/>
    </row>
    <row r="1303" spans="1:11" ht="16.350000000000001" customHeight="1">
      <c r="A1303" s="45">
        <v>4</v>
      </c>
      <c r="B1303" s="120" t="s">
        <v>737</v>
      </c>
      <c r="C1303" s="120" t="s">
        <v>547</v>
      </c>
      <c r="D1303" s="9"/>
      <c r="E1303" s="9"/>
      <c r="F1303" s="130">
        <f>IF(E1303="",0,IF(E1303&gt;0,RANK(E1303,E1300:E1321,1)))</f>
        <v>0</v>
      </c>
      <c r="G1303" s="131">
        <f t="shared" si="256"/>
        <v>0</v>
      </c>
      <c r="H1303" s="31">
        <v>770102</v>
      </c>
      <c r="I1303" s="101"/>
      <c r="J1303" s="101"/>
      <c r="K1303" s="101"/>
    </row>
    <row r="1304" spans="1:11" ht="16.350000000000001" customHeight="1">
      <c r="A1304" s="45">
        <v>5</v>
      </c>
      <c r="B1304" s="120" t="s">
        <v>455</v>
      </c>
      <c r="C1304" s="120" t="s">
        <v>738</v>
      </c>
      <c r="D1304" s="9"/>
      <c r="E1304" s="9"/>
      <c r="F1304" s="130">
        <f>IF(E1304="",0,IF(E1304&gt;0,RANK(E1304,E1300:E1321,1)))</f>
        <v>0</v>
      </c>
      <c r="G1304" s="131">
        <f t="shared" si="256"/>
        <v>0</v>
      </c>
      <c r="H1304" s="31">
        <v>800328</v>
      </c>
      <c r="I1304" s="101"/>
      <c r="J1304" s="101"/>
      <c r="K1304" s="101"/>
    </row>
    <row r="1305" spans="1:11" ht="16.350000000000001" customHeight="1">
      <c r="A1305" s="45">
        <v>6</v>
      </c>
      <c r="B1305" s="120" t="s">
        <v>739</v>
      </c>
      <c r="C1305" s="120" t="s">
        <v>88</v>
      </c>
      <c r="D1305" s="9"/>
      <c r="E1305" s="9"/>
      <c r="F1305" s="130">
        <f>IF(E1305="",0,IF(E1305&gt;0,RANK(E1305,E1300:E1321,1)))</f>
        <v>0</v>
      </c>
      <c r="G1305" s="131">
        <f t="shared" si="256"/>
        <v>0</v>
      </c>
    </row>
    <row r="1306" spans="1:11" ht="16.350000000000001" customHeight="1">
      <c r="A1306" s="47" t="s">
        <v>734</v>
      </c>
      <c r="B1306" s="5"/>
      <c r="C1306" s="4"/>
      <c r="F1306" s="133"/>
      <c r="G1306" s="132"/>
    </row>
    <row r="1307" spans="1:11" ht="16.350000000000001" customHeight="1">
      <c r="A1307" s="43" t="s">
        <v>0</v>
      </c>
      <c r="B1307" s="7" t="s">
        <v>1</v>
      </c>
      <c r="C1307" s="8" t="s">
        <v>4</v>
      </c>
      <c r="D1307" s="7" t="s">
        <v>2</v>
      </c>
      <c r="E1307" s="7" t="s">
        <v>6</v>
      </c>
      <c r="F1307" s="128" t="s">
        <v>7</v>
      </c>
      <c r="G1307" s="129" t="s">
        <v>8</v>
      </c>
    </row>
    <row r="1308" spans="1:11" ht="16.350000000000001" customHeight="1">
      <c r="A1308" s="45">
        <v>1</v>
      </c>
      <c r="B1308" s="120" t="s">
        <v>747</v>
      </c>
      <c r="C1308" s="120" t="s">
        <v>547</v>
      </c>
      <c r="D1308" s="9"/>
      <c r="E1308" s="9"/>
      <c r="F1308" s="130">
        <f>IF(E1308="",0,IF(E1308&gt;0,RANK(E1308,E1300:E1321,1)))</f>
        <v>0</v>
      </c>
      <c r="G1308" s="131">
        <f>VLOOKUP(F1308,$L$3:$M$33,2,0)</f>
        <v>0</v>
      </c>
    </row>
    <row r="1309" spans="1:11" ht="16.350000000000001" customHeight="1">
      <c r="A1309" s="45">
        <v>2</v>
      </c>
      <c r="B1309" s="120" t="s">
        <v>748</v>
      </c>
      <c r="C1309" s="120" t="s">
        <v>547</v>
      </c>
      <c r="D1309" s="9"/>
      <c r="E1309" s="9"/>
      <c r="F1309" s="130">
        <f>IF(E1309="",0,IF(E1309&gt;0,RANK(E1309,E1300:E1321,1)))</f>
        <v>0</v>
      </c>
      <c r="G1309" s="131">
        <f t="shared" ref="G1309:G1313" si="257">VLOOKUP(F1309,$L$3:$M$33,2,0)</f>
        <v>0</v>
      </c>
    </row>
    <row r="1310" spans="1:11" ht="16.350000000000001" customHeight="1">
      <c r="A1310" s="45">
        <v>3</v>
      </c>
      <c r="B1310" s="120" t="s">
        <v>751</v>
      </c>
      <c r="C1310" s="120" t="s">
        <v>269</v>
      </c>
      <c r="D1310" s="9"/>
      <c r="E1310" s="9"/>
      <c r="F1310" s="130">
        <f>IF(E1310="",0,IF(E1310&gt;0,RANK(E1310,E1300:E1321,1)))</f>
        <v>0</v>
      </c>
      <c r="G1310" s="131">
        <f t="shared" si="257"/>
        <v>0</v>
      </c>
    </row>
    <row r="1311" spans="1:11" ht="16.350000000000001" customHeight="1">
      <c r="A1311" s="45">
        <v>4</v>
      </c>
      <c r="B1311" s="120" t="s">
        <v>752</v>
      </c>
      <c r="C1311" s="120" t="s">
        <v>269</v>
      </c>
      <c r="D1311" s="9"/>
      <c r="E1311" s="9"/>
      <c r="F1311" s="130">
        <f>IF(E1311="",0,IF(E1311&gt;0,RANK(E1311,E1300:E1321,1)))</f>
        <v>0</v>
      </c>
      <c r="G1311" s="131">
        <f t="shared" si="257"/>
        <v>0</v>
      </c>
      <c r="H1311" s="31">
        <v>831020</v>
      </c>
      <c r="I1311" s="101"/>
      <c r="J1311" s="101"/>
      <c r="K1311" s="101"/>
    </row>
    <row r="1312" spans="1:11" ht="16.350000000000001" customHeight="1">
      <c r="A1312" s="45">
        <v>5</v>
      </c>
      <c r="B1312" s="120" t="s">
        <v>459</v>
      </c>
      <c r="C1312" s="120" t="s">
        <v>269</v>
      </c>
      <c r="D1312" s="9"/>
      <c r="E1312" s="9"/>
      <c r="F1312" s="130">
        <f>IF(E1312="",0,IF(E1312&gt;0,RANK(E1312,E1300:E1321,1)))</f>
        <v>0</v>
      </c>
      <c r="G1312" s="131">
        <f t="shared" si="257"/>
        <v>0</v>
      </c>
    </row>
    <row r="1313" spans="1:9" ht="16.350000000000001" customHeight="1">
      <c r="A1313" s="45">
        <v>6</v>
      </c>
      <c r="B1313" s="126" t="s">
        <v>741</v>
      </c>
      <c r="C1313" s="126" t="s">
        <v>742</v>
      </c>
      <c r="D1313" s="9"/>
      <c r="E1313" s="9"/>
      <c r="F1313" s="130">
        <f>IF(E1313="",0,IF(E1313&gt;0,RANK(E1313,E1300:E1321,1)))</f>
        <v>0</v>
      </c>
      <c r="G1313" s="131">
        <f t="shared" si="257"/>
        <v>0</v>
      </c>
    </row>
    <row r="1314" spans="1:9" ht="16.350000000000001" customHeight="1">
      <c r="A1314" s="47" t="s">
        <v>740</v>
      </c>
      <c r="B1314" s="5"/>
      <c r="C1314" s="6"/>
      <c r="F1314" s="133"/>
      <c r="G1314" s="132"/>
    </row>
    <row r="1315" spans="1:9" ht="16.350000000000001" customHeight="1">
      <c r="A1315" s="43" t="s">
        <v>0</v>
      </c>
      <c r="B1315" s="7" t="s">
        <v>1</v>
      </c>
      <c r="C1315" s="8" t="s">
        <v>4</v>
      </c>
      <c r="D1315" s="7" t="s">
        <v>2</v>
      </c>
      <c r="E1315" s="7" t="s">
        <v>6</v>
      </c>
      <c r="F1315" s="128" t="s">
        <v>7</v>
      </c>
      <c r="G1315" s="129" t="s">
        <v>8</v>
      </c>
    </row>
    <row r="1316" spans="1:9" ht="16.350000000000001" customHeight="1">
      <c r="A1316" s="45">
        <v>1</v>
      </c>
      <c r="B1316" s="127" t="s">
        <v>743</v>
      </c>
      <c r="C1316" s="120" t="s">
        <v>60</v>
      </c>
      <c r="D1316" s="9"/>
      <c r="E1316" s="9"/>
      <c r="F1316" s="130">
        <f>IF(E1316="",0,IF(E1316&gt;0,RANK(E1316,E1300:E1321,1)))</f>
        <v>0</v>
      </c>
      <c r="G1316" s="131">
        <f>VLOOKUP(F1316,$L$3:$M$33,2,0)</f>
        <v>0</v>
      </c>
    </row>
    <row r="1317" spans="1:9" ht="16.350000000000001" customHeight="1">
      <c r="A1317" s="45">
        <v>2</v>
      </c>
      <c r="B1317" s="120" t="s">
        <v>744</v>
      </c>
      <c r="C1317" s="120" t="s">
        <v>269</v>
      </c>
      <c r="D1317" s="9"/>
      <c r="E1317" s="9"/>
      <c r="F1317" s="130">
        <f>IF(E1317="",0,IF(E1317&gt;0,RANK(E1317,E1300:E1321,1)))</f>
        <v>0</v>
      </c>
      <c r="G1317" s="131">
        <f t="shared" ref="G1317:G1321" si="258">VLOOKUP(F1317,$L$3:$M$33,2,0)</f>
        <v>0</v>
      </c>
    </row>
    <row r="1318" spans="1:9" ht="16.350000000000001" customHeight="1">
      <c r="A1318" s="45">
        <v>3</v>
      </c>
      <c r="B1318" s="127" t="s">
        <v>745</v>
      </c>
      <c r="C1318" s="120" t="s">
        <v>547</v>
      </c>
      <c r="D1318" s="9"/>
      <c r="E1318" s="9"/>
      <c r="F1318" s="130">
        <f>IF(E1318="",0,IF(E1318&gt;0,RANK(E1318,E1300:E1321,1)))</f>
        <v>0</v>
      </c>
      <c r="G1318" s="131">
        <f t="shared" si="258"/>
        <v>0</v>
      </c>
    </row>
    <row r="1319" spans="1:9" ht="16.350000000000001" customHeight="1">
      <c r="A1319" s="45">
        <v>4</v>
      </c>
      <c r="B1319" s="120" t="s">
        <v>746</v>
      </c>
      <c r="C1319" s="120" t="s">
        <v>547</v>
      </c>
      <c r="D1319" s="9"/>
      <c r="E1319" s="9"/>
      <c r="F1319" s="130">
        <f>IF(E1319="",0,IF(E1319&gt;0,RANK(E1319,E1300:E1321,1)))</f>
        <v>0</v>
      </c>
      <c r="G1319" s="131">
        <f t="shared" si="258"/>
        <v>0</v>
      </c>
    </row>
    <row r="1320" spans="1:9" ht="16.350000000000001" customHeight="1">
      <c r="A1320" s="45">
        <v>5</v>
      </c>
      <c r="B1320" s="127" t="s">
        <v>749</v>
      </c>
      <c r="C1320" s="120" t="s">
        <v>269</v>
      </c>
      <c r="D1320" s="9"/>
      <c r="E1320" s="9"/>
      <c r="F1320" s="130">
        <f>IF(E1320="",0,IF(E1320&gt;0,RANK(E1320,E1300:E1321,1)))</f>
        <v>0</v>
      </c>
      <c r="G1320" s="131">
        <f t="shared" si="258"/>
        <v>0</v>
      </c>
    </row>
    <row r="1321" spans="1:9" ht="16.350000000000001" customHeight="1">
      <c r="A1321" s="45">
        <v>6</v>
      </c>
      <c r="B1321" s="120" t="s">
        <v>750</v>
      </c>
      <c r="C1321" s="120" t="s">
        <v>269</v>
      </c>
      <c r="D1321" s="9"/>
      <c r="E1321" s="9"/>
      <c r="F1321" s="130">
        <f>IF(E1321="",0,IF(E1321&gt;0,RANK(E1321,E1300:E1321,1)))</f>
        <v>0</v>
      </c>
      <c r="G1321" s="131">
        <f t="shared" si="258"/>
        <v>0</v>
      </c>
    </row>
    <row r="1322" spans="1:9" ht="16.350000000000001" customHeight="1">
      <c r="A1322" s="47" t="s">
        <v>753</v>
      </c>
      <c r="B1322" s="5"/>
      <c r="C1322" s="4"/>
      <c r="G1322" s="48"/>
    </row>
    <row r="1323" spans="1:9" ht="16.350000000000001" customHeight="1">
      <c r="A1323" s="43" t="s">
        <v>0</v>
      </c>
      <c r="B1323" s="7" t="s">
        <v>1</v>
      </c>
      <c r="C1323" s="8" t="s">
        <v>4</v>
      </c>
      <c r="D1323" s="7" t="s">
        <v>2</v>
      </c>
      <c r="E1323" s="7" t="s">
        <v>6</v>
      </c>
      <c r="F1323" s="128" t="s">
        <v>7</v>
      </c>
      <c r="G1323" s="129" t="s">
        <v>8</v>
      </c>
      <c r="I1323" s="110"/>
    </row>
    <row r="1324" spans="1:9" ht="16.350000000000001" customHeight="1">
      <c r="A1324" s="45">
        <v>1</v>
      </c>
      <c r="B1324" s="126" t="s">
        <v>754</v>
      </c>
      <c r="C1324" s="126" t="s">
        <v>413</v>
      </c>
      <c r="D1324" s="1"/>
      <c r="E1324" s="9"/>
      <c r="F1324" s="130">
        <f>IF(E1324="",0,IF(E1324&gt;0,RANK(E1324,$E$1324:$E$1337,1)))</f>
        <v>0</v>
      </c>
      <c r="G1324" s="131">
        <f>VLOOKUP(F1324,$L$3:$M$33,2,0)</f>
        <v>0</v>
      </c>
      <c r="I1324" s="110"/>
    </row>
    <row r="1325" spans="1:9" ht="16.350000000000001" customHeight="1">
      <c r="A1325" s="45">
        <v>2</v>
      </c>
      <c r="B1325" s="127" t="s">
        <v>468</v>
      </c>
      <c r="C1325" s="120" t="s">
        <v>15</v>
      </c>
      <c r="D1325" s="1"/>
      <c r="E1325" s="9"/>
      <c r="F1325" s="130">
        <f t="shared" ref="F1325:F1329" si="259">IF(E1325="",0,IF(E1325&gt;0,RANK(E1325,$E$1324:$E$1337,1)))</f>
        <v>0</v>
      </c>
      <c r="G1325" s="131">
        <f t="shared" ref="G1325:G1329" si="260">VLOOKUP(F1325,$L$3:$M$33,2,0)</f>
        <v>0</v>
      </c>
      <c r="I1325" s="110"/>
    </row>
    <row r="1326" spans="1:9" ht="16.350000000000001" customHeight="1">
      <c r="A1326" s="45">
        <v>3</v>
      </c>
      <c r="B1326" s="127" t="s">
        <v>755</v>
      </c>
      <c r="C1326" s="120" t="s">
        <v>60</v>
      </c>
      <c r="D1326" s="1"/>
      <c r="E1326" s="9"/>
      <c r="F1326" s="130">
        <f t="shared" si="259"/>
        <v>0</v>
      </c>
      <c r="G1326" s="131">
        <f t="shared" si="260"/>
        <v>0</v>
      </c>
      <c r="I1326" s="110"/>
    </row>
    <row r="1327" spans="1:9" ht="16.350000000000001" customHeight="1">
      <c r="A1327" s="45">
        <v>4</v>
      </c>
      <c r="B1327" s="127" t="s">
        <v>756</v>
      </c>
      <c r="C1327" s="120" t="s">
        <v>60</v>
      </c>
      <c r="D1327" s="1"/>
      <c r="E1327" s="9"/>
      <c r="F1327" s="130">
        <f t="shared" si="259"/>
        <v>0</v>
      </c>
      <c r="G1327" s="131">
        <f t="shared" si="260"/>
        <v>0</v>
      </c>
      <c r="I1327" s="110"/>
    </row>
    <row r="1328" spans="1:9" ht="16.350000000000001" customHeight="1">
      <c r="A1328" s="45">
        <v>5</v>
      </c>
      <c r="B1328" s="127" t="s">
        <v>757</v>
      </c>
      <c r="C1328" s="120" t="s">
        <v>84</v>
      </c>
      <c r="D1328" s="22"/>
      <c r="E1328" s="9"/>
      <c r="F1328" s="130">
        <f t="shared" si="259"/>
        <v>0</v>
      </c>
      <c r="G1328" s="131">
        <f t="shared" si="260"/>
        <v>0</v>
      </c>
      <c r="I1328" s="110"/>
    </row>
    <row r="1329" spans="1:11" ht="16.350000000000001" customHeight="1">
      <c r="A1329" s="45">
        <v>6</v>
      </c>
      <c r="B1329" s="120" t="s">
        <v>758</v>
      </c>
      <c r="C1329" s="120" t="s">
        <v>84</v>
      </c>
      <c r="D1329" s="22"/>
      <c r="E1329" s="9"/>
      <c r="F1329" s="130">
        <f t="shared" si="259"/>
        <v>0</v>
      </c>
      <c r="G1329" s="131">
        <f t="shared" si="260"/>
        <v>0</v>
      </c>
      <c r="I1329" s="110"/>
    </row>
    <row r="1330" spans="1:11" ht="16.350000000000001" customHeight="1">
      <c r="A1330" s="47" t="s">
        <v>759</v>
      </c>
      <c r="B1330" s="5"/>
      <c r="C1330" s="4"/>
      <c r="F1330" s="133"/>
      <c r="G1330" s="132"/>
      <c r="I1330" s="110"/>
    </row>
    <row r="1331" spans="1:11" ht="16.350000000000001" customHeight="1">
      <c r="A1331" s="43" t="s">
        <v>0</v>
      </c>
      <c r="B1331" s="7" t="s">
        <v>1</v>
      </c>
      <c r="C1331" s="8" t="s">
        <v>4</v>
      </c>
      <c r="D1331" s="7" t="s">
        <v>2</v>
      </c>
      <c r="E1331" s="7" t="s">
        <v>6</v>
      </c>
      <c r="F1331" s="128" t="s">
        <v>7</v>
      </c>
      <c r="G1331" s="129" t="s">
        <v>8</v>
      </c>
      <c r="I1331" s="110"/>
    </row>
    <row r="1332" spans="1:11" ht="16.350000000000001" customHeight="1">
      <c r="A1332" s="45">
        <v>1</v>
      </c>
      <c r="B1332" s="127" t="s">
        <v>568</v>
      </c>
      <c r="C1332" s="120" t="s">
        <v>13</v>
      </c>
      <c r="D1332" s="9"/>
      <c r="E1332" s="9"/>
      <c r="F1332" s="130">
        <f>IF(E1332="",0,IF(E1332&gt;0,RANK(E1332,$E$1324:$E$1337,1)))</f>
        <v>0</v>
      </c>
      <c r="G1332" s="131">
        <f>VLOOKUP(F1332,$L$3:$M$33,2,0)</f>
        <v>0</v>
      </c>
      <c r="I1332" s="110"/>
    </row>
    <row r="1333" spans="1:11" ht="16.350000000000001" customHeight="1">
      <c r="A1333" s="45">
        <v>2</v>
      </c>
      <c r="B1333" s="120" t="s">
        <v>473</v>
      </c>
      <c r="C1333" s="120" t="s">
        <v>88</v>
      </c>
      <c r="D1333" s="80"/>
      <c r="E1333" s="9"/>
      <c r="F1333" s="130">
        <f t="shared" ref="F1333:F1337" si="261">IF(E1333="",0,IF(E1333&gt;0,RANK(E1333,$E$1324:$E$1337,1)))</f>
        <v>0</v>
      </c>
      <c r="G1333" s="131">
        <f t="shared" ref="G1333:G1337" si="262">VLOOKUP(F1333,$L$3:$M$33,2,0)</f>
        <v>0</v>
      </c>
      <c r="H1333" s="31">
        <v>870706</v>
      </c>
      <c r="I1333" s="111"/>
      <c r="J1333" s="101"/>
      <c r="K1333" s="101"/>
    </row>
    <row r="1334" spans="1:11" ht="16.350000000000001" customHeight="1">
      <c r="A1334" s="45">
        <v>3</v>
      </c>
      <c r="B1334" s="120" t="s">
        <v>569</v>
      </c>
      <c r="C1334" s="120" t="s">
        <v>88</v>
      </c>
      <c r="D1334" s="80"/>
      <c r="E1334" s="9"/>
      <c r="F1334" s="130">
        <f t="shared" si="261"/>
        <v>0</v>
      </c>
      <c r="G1334" s="131">
        <f t="shared" si="262"/>
        <v>0</v>
      </c>
      <c r="H1334" s="31">
        <v>830926</v>
      </c>
      <c r="I1334" s="111"/>
      <c r="J1334" s="101"/>
      <c r="K1334" s="101"/>
    </row>
    <row r="1335" spans="1:11" ht="16.350000000000001" customHeight="1">
      <c r="A1335" s="45">
        <v>4</v>
      </c>
      <c r="B1335" s="120" t="s">
        <v>760</v>
      </c>
      <c r="C1335" s="120" t="s">
        <v>738</v>
      </c>
      <c r="D1335" s="81"/>
      <c r="E1335" s="9"/>
      <c r="F1335" s="130">
        <f t="shared" si="261"/>
        <v>0</v>
      </c>
      <c r="G1335" s="131">
        <f t="shared" si="262"/>
        <v>0</v>
      </c>
      <c r="H1335" s="31">
        <v>881027</v>
      </c>
      <c r="I1335" s="111"/>
      <c r="J1335" s="101"/>
      <c r="K1335" s="101"/>
    </row>
    <row r="1336" spans="1:11" ht="16.350000000000001" customHeight="1">
      <c r="A1336" s="45">
        <v>5</v>
      </c>
      <c r="B1336" s="126" t="s">
        <v>761</v>
      </c>
      <c r="C1336" s="120" t="s">
        <v>551</v>
      </c>
      <c r="D1336" s="77"/>
      <c r="E1336" s="9"/>
      <c r="F1336" s="130">
        <f t="shared" si="261"/>
        <v>0</v>
      </c>
      <c r="G1336" s="131">
        <f t="shared" si="262"/>
        <v>0</v>
      </c>
      <c r="I1336" s="110"/>
    </row>
    <row r="1337" spans="1:11" ht="16.350000000000001" customHeight="1">
      <c r="A1337" s="45">
        <v>6</v>
      </c>
      <c r="B1337" s="1"/>
      <c r="C1337" s="2"/>
      <c r="D1337" s="9"/>
      <c r="E1337" s="9"/>
      <c r="F1337" s="130">
        <f t="shared" si="261"/>
        <v>0</v>
      </c>
      <c r="G1337" s="131">
        <f t="shared" si="262"/>
        <v>0</v>
      </c>
      <c r="I1337" s="110"/>
    </row>
    <row r="1338" spans="1:11" ht="16.350000000000001" customHeight="1">
      <c r="A1338" s="47" t="s">
        <v>762</v>
      </c>
      <c r="B1338" s="5"/>
      <c r="C1338" s="4"/>
      <c r="G1338" s="48"/>
      <c r="I1338" s="110"/>
    </row>
    <row r="1339" spans="1:11" ht="16.350000000000001" customHeight="1">
      <c r="A1339" s="43" t="s">
        <v>0</v>
      </c>
      <c r="B1339" s="7" t="s">
        <v>1</v>
      </c>
      <c r="C1339" s="8" t="s">
        <v>4</v>
      </c>
      <c r="D1339" s="7" t="s">
        <v>2</v>
      </c>
      <c r="E1339" s="7" t="s">
        <v>6</v>
      </c>
      <c r="F1339" s="128" t="s">
        <v>7</v>
      </c>
      <c r="G1339" s="129" t="s">
        <v>8</v>
      </c>
      <c r="I1339" s="110"/>
    </row>
    <row r="1340" spans="1:11" ht="16.350000000000001" customHeight="1">
      <c r="A1340" s="45">
        <v>1</v>
      </c>
      <c r="B1340" s="126" t="s">
        <v>478</v>
      </c>
      <c r="C1340" s="126" t="s">
        <v>479</v>
      </c>
      <c r="D1340" s="9"/>
      <c r="E1340" s="9"/>
      <c r="F1340" s="130">
        <f>IF(E1340="",0,IF(E1340&gt;0,RANK(E1340,$E$1340:$E$1361,1)))</f>
        <v>0</v>
      </c>
      <c r="G1340" s="131">
        <f>VLOOKUP(F1340,$L$3:$M$33,2,0)</f>
        <v>0</v>
      </c>
      <c r="I1340" s="110"/>
    </row>
    <row r="1341" spans="1:11" ht="16.350000000000001" customHeight="1">
      <c r="A1341" s="45">
        <v>2</v>
      </c>
      <c r="B1341" s="120" t="s">
        <v>674</v>
      </c>
      <c r="C1341" s="120" t="s">
        <v>64</v>
      </c>
      <c r="D1341" s="9"/>
      <c r="E1341" s="9"/>
      <c r="F1341" s="130">
        <f t="shared" ref="F1341:F1345" si="263">IF(E1341="",0,IF(E1341&gt;0,RANK(E1341,$E$1340:$E$1361,1)))</f>
        <v>0</v>
      </c>
      <c r="G1341" s="131">
        <f t="shared" ref="G1341:G1345" si="264">VLOOKUP(F1341,$L$3:$M$33,2,0)</f>
        <v>0</v>
      </c>
      <c r="I1341" s="110"/>
    </row>
    <row r="1342" spans="1:11" ht="16.350000000000001" customHeight="1">
      <c r="A1342" s="45">
        <v>3</v>
      </c>
      <c r="B1342" s="127" t="s">
        <v>763</v>
      </c>
      <c r="C1342" s="120" t="s">
        <v>60</v>
      </c>
      <c r="D1342" s="9"/>
      <c r="E1342" s="9"/>
      <c r="F1342" s="130">
        <f t="shared" si="263"/>
        <v>0</v>
      </c>
      <c r="G1342" s="131">
        <f t="shared" si="264"/>
        <v>0</v>
      </c>
      <c r="I1342" s="110"/>
    </row>
    <row r="1343" spans="1:11" ht="16.350000000000001" customHeight="1">
      <c r="A1343" s="45">
        <v>4</v>
      </c>
      <c r="B1343" s="120" t="s">
        <v>676</v>
      </c>
      <c r="C1343" s="120" t="s">
        <v>405</v>
      </c>
      <c r="D1343" s="9"/>
      <c r="E1343" s="9"/>
      <c r="F1343" s="130">
        <f t="shared" si="263"/>
        <v>0</v>
      </c>
      <c r="G1343" s="131">
        <f t="shared" si="264"/>
        <v>0</v>
      </c>
      <c r="I1343" s="110"/>
    </row>
    <row r="1344" spans="1:11" ht="16.350000000000001" customHeight="1">
      <c r="A1344" s="45">
        <v>5</v>
      </c>
      <c r="B1344" s="120" t="s">
        <v>575</v>
      </c>
      <c r="C1344" s="120" t="s">
        <v>405</v>
      </c>
      <c r="D1344" s="9"/>
      <c r="E1344" s="9"/>
      <c r="F1344" s="130">
        <f t="shared" si="263"/>
        <v>0</v>
      </c>
      <c r="G1344" s="131">
        <f t="shared" si="264"/>
        <v>0</v>
      </c>
      <c r="I1344" s="110"/>
    </row>
    <row r="1345" spans="1:9" ht="16.350000000000001" customHeight="1">
      <c r="A1345" s="45">
        <v>6</v>
      </c>
      <c r="B1345" s="120"/>
      <c r="C1345" s="120"/>
      <c r="D1345" s="9"/>
      <c r="E1345" s="9"/>
      <c r="F1345" s="130">
        <f t="shared" si="263"/>
        <v>0</v>
      </c>
      <c r="G1345" s="131">
        <f t="shared" si="264"/>
        <v>0</v>
      </c>
      <c r="I1345" s="110"/>
    </row>
    <row r="1346" spans="1:9" ht="16.350000000000001" customHeight="1">
      <c r="A1346" s="47" t="s">
        <v>765</v>
      </c>
      <c r="B1346" s="5"/>
      <c r="C1346" s="6"/>
      <c r="F1346" s="133"/>
      <c r="G1346" s="132"/>
    </row>
    <row r="1347" spans="1:9" ht="16.350000000000001" customHeight="1">
      <c r="A1347" s="43" t="s">
        <v>0</v>
      </c>
      <c r="B1347" s="7" t="s">
        <v>1</v>
      </c>
      <c r="C1347" s="8" t="s">
        <v>4</v>
      </c>
      <c r="D1347" s="7" t="s">
        <v>2</v>
      </c>
      <c r="E1347" s="7" t="s">
        <v>6</v>
      </c>
      <c r="F1347" s="128" t="s">
        <v>7</v>
      </c>
      <c r="G1347" s="129" t="s">
        <v>8</v>
      </c>
      <c r="I1347" s="110"/>
    </row>
    <row r="1348" spans="1:9" ht="16.350000000000001" customHeight="1">
      <c r="A1348" s="45">
        <v>1</v>
      </c>
      <c r="B1348" s="120"/>
      <c r="C1348" s="120"/>
      <c r="D1348" s="9"/>
      <c r="E1348" s="9"/>
      <c r="F1348" s="130">
        <f>IF(E1348="",0,IF(E1348&gt;0,RANK(E1348,$E$1340:$E$1361,1)))</f>
        <v>0</v>
      </c>
      <c r="G1348" s="131">
        <f>VLOOKUP(F1348,$L$3:$M$33,2,0)</f>
        <v>0</v>
      </c>
      <c r="I1348" s="110"/>
    </row>
    <row r="1349" spans="1:9" ht="16.350000000000001" customHeight="1">
      <c r="A1349" s="45">
        <v>2</v>
      </c>
      <c r="B1349" s="120" t="s">
        <v>766</v>
      </c>
      <c r="C1349" s="120" t="s">
        <v>14</v>
      </c>
      <c r="D1349" s="9"/>
      <c r="E1349" s="9"/>
      <c r="F1349" s="130">
        <f t="shared" ref="F1349:F1353" si="265">IF(E1349="",0,IF(E1349&gt;0,RANK(E1349,$E$1340:$E$1361,1)))</f>
        <v>0</v>
      </c>
      <c r="G1349" s="131">
        <f t="shared" ref="G1349:G1353" si="266">VLOOKUP(F1349,$L$3:$M$33,2,0)</f>
        <v>0</v>
      </c>
      <c r="I1349" s="110"/>
    </row>
    <row r="1350" spans="1:9" ht="16.350000000000001" customHeight="1">
      <c r="A1350" s="45">
        <v>3</v>
      </c>
      <c r="B1350" s="120" t="s">
        <v>767</v>
      </c>
      <c r="C1350" s="120" t="s">
        <v>465</v>
      </c>
      <c r="D1350" s="9"/>
      <c r="E1350" s="9"/>
      <c r="F1350" s="130">
        <f t="shared" si="265"/>
        <v>0</v>
      </c>
      <c r="G1350" s="131">
        <f t="shared" si="266"/>
        <v>0</v>
      </c>
      <c r="I1350" s="110"/>
    </row>
    <row r="1351" spans="1:9" ht="16.350000000000001" customHeight="1">
      <c r="A1351" s="45">
        <v>4</v>
      </c>
      <c r="B1351" s="120" t="s">
        <v>774</v>
      </c>
      <c r="C1351" s="120" t="s">
        <v>88</v>
      </c>
      <c r="D1351" s="9"/>
      <c r="E1351" s="9"/>
      <c r="F1351" s="130">
        <f t="shared" si="265"/>
        <v>0</v>
      </c>
      <c r="G1351" s="131">
        <f t="shared" si="266"/>
        <v>0</v>
      </c>
      <c r="I1351" s="110"/>
    </row>
    <row r="1352" spans="1:9" ht="16.350000000000001" customHeight="1">
      <c r="A1352" s="45">
        <v>5</v>
      </c>
      <c r="B1352" s="120" t="s">
        <v>764</v>
      </c>
      <c r="C1352" s="120" t="s">
        <v>405</v>
      </c>
      <c r="D1352" s="9"/>
      <c r="E1352" s="9"/>
      <c r="F1352" s="130">
        <f t="shared" si="265"/>
        <v>0</v>
      </c>
      <c r="G1352" s="131">
        <f t="shared" si="266"/>
        <v>0</v>
      </c>
      <c r="I1352" s="110"/>
    </row>
    <row r="1353" spans="1:9" ht="16.350000000000001" customHeight="1">
      <c r="A1353" s="45">
        <v>6</v>
      </c>
      <c r="B1353" s="90"/>
      <c r="C1353" s="23"/>
      <c r="D1353" s="9"/>
      <c r="E1353" s="9"/>
      <c r="F1353" s="130">
        <f t="shared" si="265"/>
        <v>0</v>
      </c>
      <c r="G1353" s="131">
        <f t="shared" si="266"/>
        <v>0</v>
      </c>
      <c r="I1353" s="110"/>
    </row>
    <row r="1354" spans="1:9" ht="16.350000000000001" customHeight="1">
      <c r="A1354" s="47" t="s">
        <v>768</v>
      </c>
      <c r="B1354" s="5"/>
      <c r="C1354" s="6"/>
      <c r="F1354" s="133"/>
      <c r="G1354" s="132"/>
      <c r="I1354" s="110"/>
    </row>
    <row r="1355" spans="1:9" ht="16.350000000000001" customHeight="1">
      <c r="A1355" s="43" t="s">
        <v>0</v>
      </c>
      <c r="B1355" s="7" t="s">
        <v>1</v>
      </c>
      <c r="C1355" s="8" t="s">
        <v>4</v>
      </c>
      <c r="D1355" s="7" t="s">
        <v>2</v>
      </c>
      <c r="E1355" s="7" t="s">
        <v>6</v>
      </c>
      <c r="F1355" s="128" t="s">
        <v>7</v>
      </c>
      <c r="G1355" s="129" t="s">
        <v>8</v>
      </c>
      <c r="I1355" s="110"/>
    </row>
    <row r="1356" spans="1:9" ht="16.350000000000001" customHeight="1">
      <c r="A1356" s="45">
        <v>1</v>
      </c>
      <c r="B1356" s="120" t="s">
        <v>769</v>
      </c>
      <c r="C1356" s="120" t="s">
        <v>413</v>
      </c>
      <c r="D1356" s="9"/>
      <c r="E1356" s="9"/>
      <c r="F1356" s="130">
        <f>IF(E1356="",0,IF(E1356&gt;0,RANK(E1356,$E$1340:$E$1361,1)))</f>
        <v>0</v>
      </c>
      <c r="G1356" s="131">
        <f>VLOOKUP(F1356,$L$3:$M$33,2,0)</f>
        <v>0</v>
      </c>
      <c r="I1356" s="110"/>
    </row>
    <row r="1357" spans="1:9" ht="16.350000000000001" customHeight="1">
      <c r="A1357" s="45">
        <v>2</v>
      </c>
      <c r="B1357" s="120" t="s">
        <v>770</v>
      </c>
      <c r="C1357" s="120" t="s">
        <v>405</v>
      </c>
      <c r="D1357" s="9"/>
      <c r="E1357" s="9"/>
      <c r="F1357" s="130">
        <f t="shared" ref="F1357:F1361" si="267">IF(E1357="",0,IF(E1357&gt;0,RANK(E1357,$E$1340:$E$1361,1)))</f>
        <v>0</v>
      </c>
      <c r="G1357" s="131">
        <f t="shared" ref="G1357:G1361" si="268">VLOOKUP(F1357,$L$3:$M$33,2,0)</f>
        <v>0</v>
      </c>
      <c r="I1357" s="110"/>
    </row>
    <row r="1358" spans="1:9" ht="16.350000000000001" customHeight="1">
      <c r="A1358" s="45">
        <v>3</v>
      </c>
      <c r="B1358" s="120" t="s">
        <v>771</v>
      </c>
      <c r="C1358" s="120" t="s">
        <v>14</v>
      </c>
      <c r="D1358" s="9"/>
      <c r="E1358" s="9"/>
      <c r="F1358" s="130">
        <f t="shared" si="267"/>
        <v>0</v>
      </c>
      <c r="G1358" s="131">
        <f t="shared" si="268"/>
        <v>0</v>
      </c>
      <c r="I1358" s="110"/>
    </row>
    <row r="1359" spans="1:9" ht="16.350000000000001" customHeight="1">
      <c r="A1359" s="45">
        <v>4</v>
      </c>
      <c r="B1359" s="127" t="s">
        <v>772</v>
      </c>
      <c r="C1359" s="120" t="s">
        <v>13</v>
      </c>
      <c r="D1359" s="9"/>
      <c r="E1359" s="9"/>
      <c r="F1359" s="130">
        <f t="shared" si="267"/>
        <v>0</v>
      </c>
      <c r="G1359" s="131">
        <f t="shared" si="268"/>
        <v>0</v>
      </c>
      <c r="I1359" s="110"/>
    </row>
    <row r="1360" spans="1:9" ht="16.350000000000001" customHeight="1">
      <c r="A1360" s="45">
        <v>5</v>
      </c>
      <c r="B1360" s="120" t="s">
        <v>773</v>
      </c>
      <c r="C1360" s="120" t="s">
        <v>88</v>
      </c>
      <c r="D1360" s="9"/>
      <c r="E1360" s="9"/>
      <c r="F1360" s="130">
        <f t="shared" si="267"/>
        <v>0</v>
      </c>
      <c r="G1360" s="131">
        <f t="shared" si="268"/>
        <v>0</v>
      </c>
      <c r="I1360" s="110"/>
    </row>
    <row r="1361" spans="1:9" ht="16.350000000000001" customHeight="1">
      <c r="A1361" s="45">
        <v>6</v>
      </c>
      <c r="B1361" s="120"/>
      <c r="C1361" s="120"/>
      <c r="D1361" s="9"/>
      <c r="E1361" s="9"/>
      <c r="F1361" s="130">
        <f t="shared" si="267"/>
        <v>0</v>
      </c>
      <c r="G1361" s="131">
        <f t="shared" si="268"/>
        <v>0</v>
      </c>
      <c r="I1361" s="110"/>
    </row>
    <row r="1362" spans="1:9" ht="16.350000000000001" customHeight="1">
      <c r="A1362" s="47" t="s">
        <v>775</v>
      </c>
      <c r="B1362" s="5"/>
      <c r="C1362" s="6"/>
      <c r="D1362" s="14"/>
      <c r="E1362" s="14"/>
      <c r="F1362" s="14"/>
      <c r="G1362" s="53"/>
    </row>
    <row r="1363" spans="1:9" ht="16.350000000000001" customHeight="1">
      <c r="A1363" s="43" t="s">
        <v>0</v>
      </c>
      <c r="B1363" s="7" t="s">
        <v>1</v>
      </c>
      <c r="C1363" s="8" t="s">
        <v>4</v>
      </c>
      <c r="D1363" s="7" t="s">
        <v>2</v>
      </c>
      <c r="E1363" s="7" t="s">
        <v>6</v>
      </c>
      <c r="F1363" s="128" t="s">
        <v>7</v>
      </c>
      <c r="G1363" s="129" t="s">
        <v>8</v>
      </c>
    </row>
    <row r="1364" spans="1:9" ht="16.350000000000001" customHeight="1">
      <c r="A1364" s="45">
        <v>1</v>
      </c>
      <c r="B1364" s="120" t="s">
        <v>588</v>
      </c>
      <c r="C1364" s="120" t="s">
        <v>14</v>
      </c>
      <c r="D1364" s="9"/>
      <c r="E1364" s="9"/>
      <c r="F1364" s="130">
        <f>IF(E1364="",0,IF(E1364&gt;0,RANK(E1364,E1364:E1385,1)))</f>
        <v>0</v>
      </c>
      <c r="G1364" s="131">
        <f>VLOOKUP(F1364,$L$3:$M$33,2,0)</f>
        <v>0</v>
      </c>
    </row>
    <row r="1365" spans="1:9" ht="16.350000000000001" customHeight="1">
      <c r="A1365" s="45">
        <v>2</v>
      </c>
      <c r="B1365" s="120" t="s">
        <v>681</v>
      </c>
      <c r="C1365" s="120" t="s">
        <v>495</v>
      </c>
      <c r="D1365" s="9"/>
      <c r="E1365" s="9"/>
      <c r="F1365" s="130">
        <f>IF(E1365="",0,IF(E1365&gt;0,RANK(E1365,E1364:E1385,1)))</f>
        <v>0</v>
      </c>
      <c r="G1365" s="131">
        <f t="shared" ref="G1365:G1369" si="269">VLOOKUP(F1365,$L$3:$M$33,2,0)</f>
        <v>0</v>
      </c>
    </row>
    <row r="1366" spans="1:9" ht="16.350000000000001" customHeight="1">
      <c r="A1366" s="45">
        <v>3</v>
      </c>
      <c r="B1366" s="120" t="s">
        <v>591</v>
      </c>
      <c r="C1366" s="120" t="s">
        <v>84</v>
      </c>
      <c r="D1366" s="76"/>
      <c r="E1366" s="9"/>
      <c r="F1366" s="130">
        <f>IF(E1366="",0,IF(E1366&gt;0,RANK(E1366,E1364:E1385,1)))</f>
        <v>0</v>
      </c>
      <c r="G1366" s="131">
        <f t="shared" si="269"/>
        <v>0</v>
      </c>
    </row>
    <row r="1367" spans="1:9" ht="16.350000000000001" customHeight="1">
      <c r="A1367" s="45">
        <v>4</v>
      </c>
      <c r="B1367" s="126" t="s">
        <v>778</v>
      </c>
      <c r="C1367" s="120" t="s">
        <v>551</v>
      </c>
      <c r="D1367" s="76"/>
      <c r="E1367" s="9"/>
      <c r="F1367" s="130">
        <f>IF(E1367="",0,IF(E1367&gt;0,RANK(E1367,E1364:E1385,1)))</f>
        <v>0</v>
      </c>
      <c r="G1367" s="131">
        <f t="shared" si="269"/>
        <v>0</v>
      </c>
    </row>
    <row r="1368" spans="1:9" ht="16.350000000000001" customHeight="1">
      <c r="A1368" s="45">
        <v>5</v>
      </c>
      <c r="B1368" s="127" t="s">
        <v>586</v>
      </c>
      <c r="C1368" s="120" t="s">
        <v>13</v>
      </c>
      <c r="D1368" s="9"/>
      <c r="E1368" s="9"/>
      <c r="F1368" s="130">
        <f>IF(E1368="",0,IF(E1368&gt;0,RANK(E1368,E1364:E1385,1)))</f>
        <v>0</v>
      </c>
      <c r="G1368" s="131">
        <f t="shared" si="269"/>
        <v>0</v>
      </c>
    </row>
    <row r="1369" spans="1:9" ht="16.350000000000001" customHeight="1">
      <c r="A1369" s="45">
        <v>6</v>
      </c>
      <c r="B1369" s="127"/>
      <c r="C1369" s="120"/>
      <c r="D1369" s="9"/>
      <c r="E1369" s="9"/>
      <c r="F1369" s="130">
        <f>IF(E1369="",0,IF(E1369&gt;0,RANK(E1369,E1364:E1385,1)))</f>
        <v>0</v>
      </c>
      <c r="G1369" s="131">
        <f t="shared" si="269"/>
        <v>0</v>
      </c>
    </row>
    <row r="1370" spans="1:9" ht="16.350000000000001" customHeight="1">
      <c r="A1370" s="47" t="s">
        <v>776</v>
      </c>
      <c r="B1370" s="5"/>
      <c r="C1370" s="6"/>
      <c r="D1370" s="14"/>
      <c r="E1370" s="14"/>
      <c r="F1370" s="144"/>
      <c r="G1370" s="145"/>
    </row>
    <row r="1371" spans="1:9" ht="16.350000000000001" customHeight="1">
      <c r="A1371" s="43" t="s">
        <v>0</v>
      </c>
      <c r="B1371" s="7" t="s">
        <v>1</v>
      </c>
      <c r="C1371" s="8" t="s">
        <v>4</v>
      </c>
      <c r="D1371" s="7" t="s">
        <v>2</v>
      </c>
      <c r="E1371" s="7" t="s">
        <v>6</v>
      </c>
      <c r="F1371" s="128" t="s">
        <v>7</v>
      </c>
      <c r="G1371" s="129" t="s">
        <v>8</v>
      </c>
    </row>
    <row r="1372" spans="1:9" ht="16.350000000000001" customHeight="1">
      <c r="A1372" s="45">
        <v>1</v>
      </c>
      <c r="B1372" s="120" t="s">
        <v>587</v>
      </c>
      <c r="C1372" s="120" t="s">
        <v>88</v>
      </c>
      <c r="D1372" s="9"/>
      <c r="E1372" s="9"/>
      <c r="F1372" s="130">
        <f>IF(E1372="",0,IF(E1372&gt;0,RANK(E1372,E1364:E1385,1)))</f>
        <v>0</v>
      </c>
      <c r="G1372" s="131">
        <f>VLOOKUP(F1372,$L$3:$M$33,2,0)</f>
        <v>0</v>
      </c>
    </row>
    <row r="1373" spans="1:9" ht="16.350000000000001" customHeight="1">
      <c r="A1373" s="45">
        <v>2</v>
      </c>
      <c r="B1373" s="158" t="s">
        <v>779</v>
      </c>
      <c r="C1373" s="120" t="s">
        <v>401</v>
      </c>
      <c r="D1373" s="9"/>
      <c r="E1373" s="9"/>
      <c r="F1373" s="130">
        <f>IF(E1373="",0,IF(E1373&gt;0,RANK(E1373,E1364:E1385,1)))</f>
        <v>0</v>
      </c>
      <c r="G1373" s="131">
        <f t="shared" ref="G1373:G1377" si="270">VLOOKUP(F1373,$L$3:$M$33,2,0)</f>
        <v>0</v>
      </c>
    </row>
    <row r="1374" spans="1:9" ht="16.350000000000001" customHeight="1">
      <c r="A1374" s="45">
        <v>3</v>
      </c>
      <c r="B1374" s="127" t="s">
        <v>785</v>
      </c>
      <c r="C1374" s="120" t="s">
        <v>13</v>
      </c>
      <c r="D1374" s="9"/>
      <c r="E1374" s="9"/>
      <c r="F1374" s="130">
        <f>IF(E1374="",0,IF(E1374&gt;0,RANK(E1374,E1364:E1385,1)))</f>
        <v>0</v>
      </c>
      <c r="G1374" s="131">
        <f t="shared" si="270"/>
        <v>0</v>
      </c>
    </row>
    <row r="1375" spans="1:9" ht="16.350000000000001" customHeight="1">
      <c r="A1375" s="45">
        <v>4</v>
      </c>
      <c r="B1375" s="134" t="s">
        <v>777</v>
      </c>
      <c r="C1375" s="126" t="s">
        <v>413</v>
      </c>
      <c r="D1375" s="9"/>
      <c r="E1375" s="9"/>
      <c r="F1375" s="130">
        <f>IF(E1375="",0,IF(E1375&gt;0,RANK(E1375,E1364:E1385,1)))</f>
        <v>0</v>
      </c>
      <c r="G1375" s="131">
        <f t="shared" si="270"/>
        <v>0</v>
      </c>
    </row>
    <row r="1376" spans="1:9" ht="16.350000000000001" customHeight="1">
      <c r="A1376" s="45">
        <v>5</v>
      </c>
      <c r="B1376" s="23"/>
      <c r="C1376" s="91"/>
      <c r="D1376" s="9"/>
      <c r="E1376" s="9"/>
      <c r="F1376" s="130">
        <f>IF(E1376="",0,IF(E1376&gt;0,RANK(E1376,E1364:E1385,1)))</f>
        <v>0</v>
      </c>
      <c r="G1376" s="131">
        <f t="shared" si="270"/>
        <v>0</v>
      </c>
    </row>
    <row r="1377" spans="1:9" ht="16.350000000000001" customHeight="1">
      <c r="A1377" s="45">
        <v>6</v>
      </c>
      <c r="B1377" s="23"/>
      <c r="C1377" s="91"/>
      <c r="D1377" s="9"/>
      <c r="E1377" s="9"/>
      <c r="F1377" s="130">
        <f>IF(E1377="",0,IF(E1377&gt;0,RANK(E1377,E1364:E1385,1)))</f>
        <v>0</v>
      </c>
      <c r="G1377" s="131">
        <f t="shared" si="270"/>
        <v>0</v>
      </c>
    </row>
    <row r="1378" spans="1:9" s="35" customFormat="1" ht="16.350000000000001" customHeight="1">
      <c r="A1378" s="47" t="s">
        <v>786</v>
      </c>
      <c r="B1378" s="5"/>
      <c r="C1378" s="6"/>
      <c r="D1378" s="38"/>
      <c r="E1378" s="38"/>
      <c r="F1378" s="133"/>
      <c r="G1378" s="132"/>
    </row>
    <row r="1379" spans="1:9" ht="16.350000000000001" customHeight="1">
      <c r="A1379" s="43" t="s">
        <v>0</v>
      </c>
      <c r="B1379" s="7" t="s">
        <v>1</v>
      </c>
      <c r="C1379" s="8" t="s">
        <v>3</v>
      </c>
      <c r="D1379" s="7" t="s">
        <v>2</v>
      </c>
      <c r="E1379" s="7" t="s">
        <v>6</v>
      </c>
      <c r="F1379" s="128" t="s">
        <v>7</v>
      </c>
      <c r="G1379" s="129" t="s">
        <v>8</v>
      </c>
      <c r="I1379" s="110"/>
    </row>
    <row r="1380" spans="1:9" ht="16.350000000000001" customHeight="1">
      <c r="A1380" s="45">
        <v>1</v>
      </c>
      <c r="B1380" s="127" t="s">
        <v>780</v>
      </c>
      <c r="C1380" s="120" t="s">
        <v>60</v>
      </c>
      <c r="D1380" s="9"/>
      <c r="E1380" s="9"/>
      <c r="F1380" s="130">
        <f>IF(E1380="",0,IF(E1380&gt;0,RANK(E1380,$E$1364:$E$1385,1)))</f>
        <v>0</v>
      </c>
      <c r="G1380" s="131">
        <f>VLOOKUP(F1380,$L$3:$M$33,2,0)</f>
        <v>0</v>
      </c>
      <c r="I1380" s="110"/>
    </row>
    <row r="1381" spans="1:9" ht="16.350000000000001" customHeight="1">
      <c r="A1381" s="45">
        <v>2</v>
      </c>
      <c r="B1381" s="136" t="s">
        <v>198</v>
      </c>
      <c r="C1381" s="136" t="s">
        <v>738</v>
      </c>
      <c r="D1381" s="9"/>
      <c r="E1381" s="9"/>
      <c r="F1381" s="130">
        <f t="shared" ref="F1381:F1385" si="271">IF(E1381="",0,IF(E1381&gt;0,RANK(E1381,$E$1364:$E$1385,1)))</f>
        <v>0</v>
      </c>
      <c r="G1381" s="131">
        <f t="shared" ref="G1381:G1385" si="272">VLOOKUP(F1381,$L$3:$M$33,2,0)</f>
        <v>0</v>
      </c>
      <c r="I1381" s="110"/>
    </row>
    <row r="1382" spans="1:9" ht="16.350000000000001" customHeight="1">
      <c r="A1382" s="45">
        <v>3</v>
      </c>
      <c r="B1382" s="120" t="s">
        <v>781</v>
      </c>
      <c r="C1382" s="120" t="s">
        <v>782</v>
      </c>
      <c r="D1382" s="9"/>
      <c r="E1382" s="9"/>
      <c r="F1382" s="130">
        <f t="shared" si="271"/>
        <v>0</v>
      </c>
      <c r="G1382" s="131">
        <f t="shared" si="272"/>
        <v>0</v>
      </c>
      <c r="I1382" s="110"/>
    </row>
    <row r="1383" spans="1:9" ht="16.350000000000001" customHeight="1">
      <c r="A1383" s="45">
        <v>4</v>
      </c>
      <c r="B1383" s="120" t="s">
        <v>783</v>
      </c>
      <c r="C1383" s="120" t="s">
        <v>84</v>
      </c>
      <c r="D1383" s="9"/>
      <c r="E1383" s="9"/>
      <c r="F1383" s="130">
        <f t="shared" si="271"/>
        <v>0</v>
      </c>
      <c r="G1383" s="131">
        <f t="shared" si="272"/>
        <v>0</v>
      </c>
      <c r="I1383" s="110"/>
    </row>
    <row r="1384" spans="1:9" ht="16.350000000000001" customHeight="1">
      <c r="A1384" s="45">
        <v>5</v>
      </c>
      <c r="B1384" s="127" t="s">
        <v>784</v>
      </c>
      <c r="C1384" s="120" t="s">
        <v>13</v>
      </c>
      <c r="D1384" s="9"/>
      <c r="E1384" s="9"/>
      <c r="F1384" s="130">
        <f t="shared" si="271"/>
        <v>0</v>
      </c>
      <c r="G1384" s="131">
        <f t="shared" si="272"/>
        <v>0</v>
      </c>
      <c r="I1384" s="110"/>
    </row>
    <row r="1385" spans="1:9" ht="16.350000000000001" customHeight="1">
      <c r="A1385" s="45">
        <v>6</v>
      </c>
      <c r="B1385" s="127"/>
      <c r="C1385" s="120"/>
      <c r="D1385" s="9"/>
      <c r="E1385" s="9"/>
      <c r="F1385" s="130">
        <f t="shared" si="271"/>
        <v>0</v>
      </c>
      <c r="G1385" s="131">
        <f t="shared" si="272"/>
        <v>0</v>
      </c>
      <c r="I1385" s="110"/>
    </row>
    <row r="1386" spans="1:9" s="35" customFormat="1" ht="16.350000000000001" customHeight="1">
      <c r="A1386" s="47" t="s">
        <v>787</v>
      </c>
      <c r="B1386" s="5"/>
      <c r="C1386" s="6"/>
      <c r="D1386" s="38"/>
      <c r="E1386" s="38"/>
      <c r="F1386" s="38"/>
      <c r="G1386" s="49"/>
      <c r="I1386" s="110"/>
    </row>
    <row r="1387" spans="1:9" ht="16.350000000000001" customHeight="1">
      <c r="A1387" s="43" t="s">
        <v>0</v>
      </c>
      <c r="B1387" s="7" t="s">
        <v>1</v>
      </c>
      <c r="C1387" s="8" t="s">
        <v>3</v>
      </c>
      <c r="D1387" s="7" t="s">
        <v>2</v>
      </c>
      <c r="E1387" s="7" t="s">
        <v>6</v>
      </c>
      <c r="F1387" s="7" t="s">
        <v>7</v>
      </c>
      <c r="G1387" s="44" t="s">
        <v>8</v>
      </c>
      <c r="I1387" s="110"/>
    </row>
    <row r="1388" spans="1:9" ht="16.350000000000001" customHeight="1">
      <c r="A1388" s="45">
        <v>1</v>
      </c>
      <c r="B1388" s="120"/>
      <c r="C1388" s="120"/>
      <c r="D1388" s="9"/>
      <c r="E1388" s="9"/>
      <c r="F1388" s="10">
        <f>IF(E1388="",0,IF(E1388&gt;0,RANK(E1388,$E$1388:$E$1393,1)))</f>
        <v>0</v>
      </c>
      <c r="G1388" s="46">
        <f>VLOOKUP(F1388,$L$3:$M$33,2,0)</f>
        <v>0</v>
      </c>
      <c r="I1388" s="110"/>
    </row>
    <row r="1389" spans="1:9" ht="16.350000000000001" customHeight="1">
      <c r="A1389" s="45">
        <v>2</v>
      </c>
      <c r="B1389" s="120" t="s">
        <v>788</v>
      </c>
      <c r="C1389" s="120" t="s">
        <v>444</v>
      </c>
      <c r="D1389" s="9"/>
      <c r="E1389" s="9"/>
      <c r="F1389" s="10">
        <f t="shared" ref="F1389:F1393" si="273">IF(E1389="",0,IF(E1389&gt;0,RANK(E1389,$E$1388:$E$1393,1)))</f>
        <v>0</v>
      </c>
      <c r="G1389" s="46">
        <f t="shared" ref="G1389:G1393" si="274">VLOOKUP(F1389,$L$3:$M$33,2,0)</f>
        <v>0</v>
      </c>
      <c r="I1389" s="110"/>
    </row>
    <row r="1390" spans="1:9" ht="16.350000000000001" customHeight="1">
      <c r="A1390" s="45">
        <v>3</v>
      </c>
      <c r="B1390" s="120" t="s">
        <v>603</v>
      </c>
      <c r="C1390" s="120" t="s">
        <v>495</v>
      </c>
      <c r="D1390" s="9"/>
      <c r="E1390" s="9"/>
      <c r="F1390" s="10">
        <f t="shared" si="273"/>
        <v>0</v>
      </c>
      <c r="G1390" s="46">
        <f t="shared" si="274"/>
        <v>0</v>
      </c>
      <c r="I1390" s="110"/>
    </row>
    <row r="1391" spans="1:9" ht="16.350000000000001" customHeight="1">
      <c r="A1391" s="45">
        <v>4</v>
      </c>
      <c r="B1391" s="120" t="s">
        <v>604</v>
      </c>
      <c r="C1391" s="120" t="s">
        <v>407</v>
      </c>
      <c r="D1391" s="9"/>
      <c r="E1391" s="9"/>
      <c r="F1391" s="10">
        <f t="shared" si="273"/>
        <v>0</v>
      </c>
      <c r="G1391" s="46">
        <f t="shared" si="274"/>
        <v>0</v>
      </c>
      <c r="I1391" s="110"/>
    </row>
    <row r="1392" spans="1:9" ht="16.350000000000001" customHeight="1">
      <c r="A1392" s="45">
        <v>5</v>
      </c>
      <c r="B1392" s="85"/>
      <c r="C1392" s="85"/>
      <c r="D1392" s="9"/>
      <c r="E1392" s="9"/>
      <c r="F1392" s="10">
        <f t="shared" si="273"/>
        <v>0</v>
      </c>
      <c r="G1392" s="46">
        <f t="shared" si="274"/>
        <v>0</v>
      </c>
      <c r="I1392" s="110"/>
    </row>
    <row r="1393" spans="1:9" ht="16.350000000000001" customHeight="1">
      <c r="A1393" s="45">
        <v>6</v>
      </c>
      <c r="B1393" s="85"/>
      <c r="C1393" s="85"/>
      <c r="D1393" s="9"/>
      <c r="E1393" s="9"/>
      <c r="F1393" s="10">
        <f t="shared" si="273"/>
        <v>0</v>
      </c>
      <c r="G1393" s="46">
        <f t="shared" si="274"/>
        <v>0</v>
      </c>
      <c r="I1393" s="110"/>
    </row>
    <row r="1394" spans="1:9" s="35" customFormat="1" ht="16.350000000000001" customHeight="1">
      <c r="A1394" s="47" t="s">
        <v>789</v>
      </c>
      <c r="B1394" s="63"/>
      <c r="C1394" s="68"/>
      <c r="D1394" s="38"/>
      <c r="E1394" s="38"/>
      <c r="F1394" s="38"/>
      <c r="G1394" s="49"/>
      <c r="I1394" s="110"/>
    </row>
    <row r="1395" spans="1:9" ht="16.350000000000001" customHeight="1">
      <c r="A1395" s="43" t="s">
        <v>0</v>
      </c>
      <c r="B1395" s="97" t="s">
        <v>1</v>
      </c>
      <c r="C1395" s="98" t="s">
        <v>4</v>
      </c>
      <c r="D1395" s="7" t="s">
        <v>2</v>
      </c>
      <c r="E1395" s="7" t="s">
        <v>6</v>
      </c>
      <c r="F1395" s="128" t="s">
        <v>7</v>
      </c>
      <c r="G1395" s="129" t="s">
        <v>8</v>
      </c>
      <c r="I1395" s="110"/>
    </row>
    <row r="1396" spans="1:9" ht="16.350000000000001" customHeight="1">
      <c r="A1396" s="45">
        <v>1</v>
      </c>
      <c r="B1396" s="134" t="s">
        <v>790</v>
      </c>
      <c r="C1396" s="120" t="s">
        <v>791</v>
      </c>
      <c r="D1396" s="9"/>
      <c r="E1396" s="9"/>
      <c r="F1396" s="130">
        <f>IF(E1396="",0,IF(E1396&gt;0,RANK(E1396,$E$1396:$E$1409,1)))</f>
        <v>0</v>
      </c>
      <c r="G1396" s="131">
        <f>VLOOKUP(F1396,$L$3:$M$33,2,0)</f>
        <v>0</v>
      </c>
      <c r="I1396" s="110"/>
    </row>
    <row r="1397" spans="1:9" ht="16.350000000000001" customHeight="1">
      <c r="A1397" s="45">
        <v>2</v>
      </c>
      <c r="B1397" s="126" t="s">
        <v>792</v>
      </c>
      <c r="C1397" s="126" t="s">
        <v>98</v>
      </c>
      <c r="D1397" s="9"/>
      <c r="E1397" s="9"/>
      <c r="F1397" s="130">
        <f t="shared" ref="F1397:F1401" si="275">IF(E1397="",0,IF(E1397&gt;0,RANK(E1397,$E$1396:$E$1409,1)))</f>
        <v>0</v>
      </c>
      <c r="G1397" s="131">
        <f t="shared" ref="G1397:G1401" si="276">VLOOKUP(F1397,$L$3:$M$33,2,0)</f>
        <v>0</v>
      </c>
      <c r="I1397" s="110"/>
    </row>
    <row r="1398" spans="1:9" ht="16.350000000000001" customHeight="1">
      <c r="A1398" s="45">
        <v>3</v>
      </c>
      <c r="B1398" s="127" t="s">
        <v>610</v>
      </c>
      <c r="C1398" s="120" t="s">
        <v>64</v>
      </c>
      <c r="D1398" s="9"/>
      <c r="E1398" s="9"/>
      <c r="F1398" s="130">
        <f t="shared" si="275"/>
        <v>0</v>
      </c>
      <c r="G1398" s="131">
        <f t="shared" si="276"/>
        <v>0</v>
      </c>
      <c r="I1398" s="110"/>
    </row>
    <row r="1399" spans="1:9" ht="16.350000000000001" customHeight="1">
      <c r="A1399" s="45">
        <v>4</v>
      </c>
      <c r="B1399" s="120" t="s">
        <v>611</v>
      </c>
      <c r="C1399" s="120" t="s">
        <v>64</v>
      </c>
      <c r="D1399" s="9"/>
      <c r="E1399" s="9"/>
      <c r="F1399" s="130">
        <f t="shared" si="275"/>
        <v>0</v>
      </c>
      <c r="G1399" s="131">
        <f t="shared" si="276"/>
        <v>0</v>
      </c>
      <c r="I1399" s="110"/>
    </row>
    <row r="1400" spans="1:9" ht="16.350000000000001" customHeight="1">
      <c r="A1400" s="45">
        <v>5</v>
      </c>
      <c r="B1400" s="120" t="s">
        <v>394</v>
      </c>
      <c r="C1400" s="120" t="s">
        <v>269</v>
      </c>
      <c r="D1400" s="9"/>
      <c r="E1400" s="9"/>
      <c r="F1400" s="130">
        <f t="shared" si="275"/>
        <v>0</v>
      </c>
      <c r="G1400" s="131">
        <f t="shared" si="276"/>
        <v>0</v>
      </c>
      <c r="I1400" s="110"/>
    </row>
    <row r="1401" spans="1:9" ht="16.350000000000001" customHeight="1">
      <c r="A1401" s="45">
        <v>6</v>
      </c>
      <c r="B1401" s="23"/>
      <c r="C1401" s="91"/>
      <c r="D1401" s="9"/>
      <c r="E1401" s="9"/>
      <c r="F1401" s="130">
        <f t="shared" si="275"/>
        <v>0</v>
      </c>
      <c r="G1401" s="131">
        <f t="shared" si="276"/>
        <v>0</v>
      </c>
      <c r="I1401" s="110"/>
    </row>
    <row r="1402" spans="1:9" s="71" customFormat="1" ht="16.350000000000001" customHeight="1">
      <c r="A1402" s="47" t="s">
        <v>793</v>
      </c>
      <c r="B1402" s="63"/>
      <c r="C1402" s="63"/>
      <c r="D1402" s="70"/>
      <c r="E1402" s="70"/>
      <c r="F1402" s="154"/>
      <c r="G1402" s="155"/>
    </row>
    <row r="1403" spans="1:9" ht="16.350000000000001" customHeight="1">
      <c r="A1403" s="43" t="s">
        <v>0</v>
      </c>
      <c r="B1403" s="7" t="s">
        <v>1</v>
      </c>
      <c r="C1403" s="8" t="s">
        <v>4</v>
      </c>
      <c r="D1403" s="7" t="s">
        <v>2</v>
      </c>
      <c r="E1403" s="7" t="s">
        <v>6</v>
      </c>
      <c r="F1403" s="128" t="s">
        <v>7</v>
      </c>
      <c r="G1403" s="129" t="s">
        <v>8</v>
      </c>
      <c r="I1403" s="110"/>
    </row>
    <row r="1404" spans="1:9" ht="16.350000000000001" customHeight="1">
      <c r="A1404" s="45">
        <v>1</v>
      </c>
      <c r="B1404" s="85"/>
      <c r="C1404" s="85"/>
      <c r="D1404" s="9"/>
      <c r="E1404" s="9"/>
      <c r="F1404" s="130">
        <f>IF(E1404="",0,IF(E1404&gt;0,RANK(E1404,$E$1396:$E$1409,1)))</f>
        <v>0</v>
      </c>
      <c r="G1404" s="131">
        <f>VLOOKUP(F1404,$L$3:$M$33,2,0)</f>
        <v>0</v>
      </c>
      <c r="I1404" s="110"/>
    </row>
    <row r="1405" spans="1:9" ht="16.350000000000001" customHeight="1">
      <c r="A1405" s="45">
        <v>2</v>
      </c>
      <c r="B1405" s="127" t="s">
        <v>693</v>
      </c>
      <c r="C1405" s="120" t="s">
        <v>365</v>
      </c>
      <c r="D1405" s="9"/>
      <c r="E1405" s="9"/>
      <c r="F1405" s="130">
        <f t="shared" ref="F1405:F1409" si="277">IF(E1405="",0,IF(E1405&gt;0,RANK(E1405,$E$1396:$E$1409,1)))</f>
        <v>0</v>
      </c>
      <c r="G1405" s="131">
        <f t="shared" ref="G1405:G1409" si="278">VLOOKUP(F1405,$L$3:$M$33,2,0)</f>
        <v>0</v>
      </c>
      <c r="I1405" s="110"/>
    </row>
    <row r="1406" spans="1:9" ht="16.350000000000001" customHeight="1">
      <c r="A1406" s="45">
        <v>3</v>
      </c>
      <c r="B1406" s="120" t="s">
        <v>696</v>
      </c>
      <c r="C1406" s="120" t="s">
        <v>405</v>
      </c>
      <c r="D1406" s="9"/>
      <c r="E1406" s="9"/>
      <c r="F1406" s="130">
        <f t="shared" si="277"/>
        <v>0</v>
      </c>
      <c r="G1406" s="131">
        <f t="shared" si="278"/>
        <v>0</v>
      </c>
      <c r="I1406" s="110"/>
    </row>
    <row r="1407" spans="1:9" ht="16.350000000000001" customHeight="1">
      <c r="A1407" s="45">
        <v>4</v>
      </c>
      <c r="B1407" s="127" t="s">
        <v>493</v>
      </c>
      <c r="C1407" s="120" t="s">
        <v>14</v>
      </c>
      <c r="D1407" s="9"/>
      <c r="E1407" s="9"/>
      <c r="F1407" s="130">
        <f t="shared" si="277"/>
        <v>0</v>
      </c>
      <c r="G1407" s="131">
        <f t="shared" si="278"/>
        <v>0</v>
      </c>
      <c r="I1407" s="110"/>
    </row>
    <row r="1408" spans="1:9" ht="16.350000000000001" customHeight="1">
      <c r="A1408" s="45">
        <v>5</v>
      </c>
      <c r="B1408" s="120" t="s">
        <v>614</v>
      </c>
      <c r="C1408" s="120" t="s">
        <v>88</v>
      </c>
      <c r="D1408" s="9"/>
      <c r="E1408" s="9"/>
      <c r="F1408" s="130">
        <f t="shared" si="277"/>
        <v>0</v>
      </c>
      <c r="G1408" s="131">
        <f t="shared" si="278"/>
        <v>0</v>
      </c>
      <c r="I1408" s="110"/>
    </row>
    <row r="1409" spans="1:9" ht="16.350000000000001" customHeight="1">
      <c r="A1409" s="45">
        <v>6</v>
      </c>
      <c r="B1409" s="85"/>
      <c r="C1409" s="85"/>
      <c r="D1409" s="9"/>
      <c r="E1409" s="9"/>
      <c r="F1409" s="130">
        <f t="shared" si="277"/>
        <v>0</v>
      </c>
      <c r="G1409" s="131">
        <f t="shared" si="278"/>
        <v>0</v>
      </c>
      <c r="I1409" s="110"/>
    </row>
    <row r="1410" spans="1:9" s="13" customFormat="1" ht="16.350000000000001" customHeight="1">
      <c r="A1410" s="47" t="s">
        <v>794</v>
      </c>
      <c r="B1410" s="5"/>
      <c r="C1410" s="5"/>
      <c r="D1410" s="28"/>
      <c r="E1410" s="28"/>
      <c r="F1410" s="28"/>
      <c r="G1410" s="56"/>
      <c r="I1410" s="112"/>
    </row>
    <row r="1411" spans="1:9" ht="16.350000000000001" customHeight="1">
      <c r="A1411" s="43" t="s">
        <v>0</v>
      </c>
      <c r="B1411" s="7" t="s">
        <v>1</v>
      </c>
      <c r="C1411" s="8" t="s">
        <v>4</v>
      </c>
      <c r="D1411" s="7" t="s">
        <v>2</v>
      </c>
      <c r="E1411" s="7" t="s">
        <v>6</v>
      </c>
      <c r="F1411" s="128" t="s">
        <v>7</v>
      </c>
      <c r="G1411" s="129" t="s">
        <v>8</v>
      </c>
      <c r="I1411" s="110"/>
    </row>
    <row r="1412" spans="1:9" ht="16.350000000000001" customHeight="1">
      <c r="A1412" s="45">
        <v>1</v>
      </c>
      <c r="B1412" s="120" t="s">
        <v>796</v>
      </c>
      <c r="C1412" s="120" t="s">
        <v>405</v>
      </c>
      <c r="D1412" s="9"/>
      <c r="E1412" s="11"/>
      <c r="F1412" s="130">
        <f>IF(E1412="",0,IF(E1412&gt;0,RANK(E1412,$E$1412:$E$1425,1)))</f>
        <v>0</v>
      </c>
      <c r="G1412" s="131">
        <f>VLOOKUP(F1412,$L$3:$M$33,2,0)</f>
        <v>0</v>
      </c>
      <c r="I1412" s="110"/>
    </row>
    <row r="1413" spans="1:9" ht="16.350000000000001" customHeight="1">
      <c r="A1413" s="45">
        <v>2</v>
      </c>
      <c r="B1413" s="127" t="s">
        <v>797</v>
      </c>
      <c r="C1413" s="120" t="s">
        <v>84</v>
      </c>
      <c r="D1413" s="9"/>
      <c r="E1413" s="11"/>
      <c r="F1413" s="130">
        <f t="shared" ref="F1413:F1417" si="279">IF(E1413="",0,IF(E1413&gt;0,RANK(E1413,$E$1412:$E$1425,1)))</f>
        <v>0</v>
      </c>
      <c r="G1413" s="131">
        <f t="shared" ref="G1413:G1417" si="280">VLOOKUP(F1413,$L$3:$M$33,2,0)</f>
        <v>0</v>
      </c>
      <c r="I1413" s="110"/>
    </row>
    <row r="1414" spans="1:9" ht="16.350000000000001" customHeight="1">
      <c r="A1414" s="45">
        <v>3</v>
      </c>
      <c r="B1414" s="120" t="s">
        <v>621</v>
      </c>
      <c r="C1414" s="120" t="s">
        <v>798</v>
      </c>
      <c r="D1414" s="9"/>
      <c r="E1414" s="11"/>
      <c r="F1414" s="130">
        <f t="shared" si="279"/>
        <v>0</v>
      </c>
      <c r="G1414" s="131">
        <f t="shared" si="280"/>
        <v>0</v>
      </c>
      <c r="I1414" s="110"/>
    </row>
    <row r="1415" spans="1:9" ht="16.350000000000001" customHeight="1">
      <c r="A1415" s="45">
        <v>4</v>
      </c>
      <c r="B1415" s="120" t="s">
        <v>403</v>
      </c>
      <c r="C1415" s="120" t="s">
        <v>64</v>
      </c>
      <c r="D1415" s="9"/>
      <c r="E1415" s="11"/>
      <c r="F1415" s="130">
        <f t="shared" si="279"/>
        <v>0</v>
      </c>
      <c r="G1415" s="131">
        <f t="shared" si="280"/>
        <v>0</v>
      </c>
      <c r="I1415" s="110"/>
    </row>
    <row r="1416" spans="1:9" ht="16.350000000000001" customHeight="1">
      <c r="A1416" s="45">
        <v>5</v>
      </c>
      <c r="B1416" s="120" t="s">
        <v>625</v>
      </c>
      <c r="C1416" s="120" t="s">
        <v>401</v>
      </c>
      <c r="D1416" s="9"/>
      <c r="E1416" s="11"/>
      <c r="F1416" s="130">
        <f t="shared" si="279"/>
        <v>0</v>
      </c>
      <c r="G1416" s="131">
        <f t="shared" si="280"/>
        <v>0</v>
      </c>
      <c r="I1416" s="110"/>
    </row>
    <row r="1417" spans="1:9" ht="16.350000000000001" customHeight="1">
      <c r="A1417" s="45">
        <v>6</v>
      </c>
      <c r="B1417" s="85"/>
      <c r="C1417" s="85"/>
      <c r="D1417" s="9"/>
      <c r="E1417" s="11"/>
      <c r="F1417" s="130">
        <f t="shared" si="279"/>
        <v>0</v>
      </c>
      <c r="G1417" s="131">
        <f t="shared" si="280"/>
        <v>0</v>
      </c>
      <c r="I1417" s="110"/>
    </row>
    <row r="1418" spans="1:9" s="13" customFormat="1" ht="16.350000000000001" customHeight="1">
      <c r="A1418" s="47" t="s">
        <v>795</v>
      </c>
      <c r="B1418" s="5"/>
      <c r="C1418" s="5"/>
      <c r="D1418" s="28"/>
      <c r="E1418" s="28"/>
      <c r="F1418" s="154"/>
      <c r="G1418" s="155"/>
      <c r="I1418" s="112"/>
    </row>
    <row r="1419" spans="1:9" ht="16.350000000000001" customHeight="1">
      <c r="A1419" s="43" t="s">
        <v>0</v>
      </c>
      <c r="B1419" s="7" t="s">
        <v>1</v>
      </c>
      <c r="C1419" s="8" t="s">
        <v>4</v>
      </c>
      <c r="D1419" s="7" t="s">
        <v>2</v>
      </c>
      <c r="E1419" s="7" t="s">
        <v>6</v>
      </c>
      <c r="F1419" s="128" t="s">
        <v>7</v>
      </c>
      <c r="G1419" s="129" t="s">
        <v>8</v>
      </c>
      <c r="I1419" s="110"/>
    </row>
    <row r="1420" spans="1:9" ht="16.350000000000001" customHeight="1">
      <c r="A1420" s="45">
        <v>1</v>
      </c>
      <c r="B1420" s="85"/>
      <c r="C1420" s="85"/>
      <c r="D1420" s="9"/>
      <c r="E1420" s="11"/>
      <c r="F1420" s="130">
        <f>IF(E1420="",0,IF(E1420&gt;0,RANK(E1420,$E$1412:$E$1425,1)))</f>
        <v>0</v>
      </c>
      <c r="G1420" s="131">
        <f>VLOOKUP(F1420,$L$3:$M$33,2,0)</f>
        <v>0</v>
      </c>
      <c r="I1420" s="110"/>
    </row>
    <row r="1421" spans="1:9" ht="16.350000000000001" customHeight="1">
      <c r="A1421" s="45">
        <v>2</v>
      </c>
      <c r="B1421" s="127" t="s">
        <v>799</v>
      </c>
      <c r="C1421" s="120" t="s">
        <v>64</v>
      </c>
      <c r="D1421" s="9"/>
      <c r="E1421" s="11"/>
      <c r="F1421" s="130">
        <f t="shared" ref="F1421:F1425" si="281">IF(E1421="",0,IF(E1421&gt;0,RANK(E1421,$E$1412:$E$1425,1)))</f>
        <v>0</v>
      </c>
      <c r="G1421" s="131">
        <f t="shared" ref="G1421:G1425" si="282">VLOOKUP(F1421,$L$3:$M$33,2,0)</f>
        <v>0</v>
      </c>
      <c r="I1421" s="110"/>
    </row>
    <row r="1422" spans="1:9" ht="16.350000000000001" customHeight="1">
      <c r="A1422" s="45">
        <v>3</v>
      </c>
      <c r="B1422" s="127" t="s">
        <v>800</v>
      </c>
      <c r="C1422" s="120" t="s">
        <v>64</v>
      </c>
      <c r="D1422" s="9"/>
      <c r="E1422" s="11"/>
      <c r="F1422" s="130">
        <f t="shared" si="281"/>
        <v>0</v>
      </c>
      <c r="G1422" s="131">
        <f t="shared" si="282"/>
        <v>0</v>
      </c>
      <c r="I1422" s="110"/>
    </row>
    <row r="1423" spans="1:9" ht="16.350000000000001" customHeight="1">
      <c r="A1423" s="45">
        <v>4</v>
      </c>
      <c r="B1423" s="120" t="s">
        <v>410</v>
      </c>
      <c r="C1423" s="120" t="s">
        <v>88</v>
      </c>
      <c r="D1423" s="9"/>
      <c r="E1423" s="11"/>
      <c r="F1423" s="130">
        <f t="shared" si="281"/>
        <v>0</v>
      </c>
      <c r="G1423" s="131">
        <f t="shared" si="282"/>
        <v>0</v>
      </c>
      <c r="I1423" s="110"/>
    </row>
    <row r="1424" spans="1:9" ht="16.350000000000001" customHeight="1">
      <c r="A1424" s="45">
        <v>5</v>
      </c>
      <c r="B1424" s="120" t="s">
        <v>623</v>
      </c>
      <c r="C1424" s="120" t="s">
        <v>88</v>
      </c>
      <c r="D1424" s="9"/>
      <c r="E1424" s="11"/>
      <c r="F1424" s="130">
        <f t="shared" si="281"/>
        <v>0</v>
      </c>
      <c r="G1424" s="131">
        <f t="shared" si="282"/>
        <v>0</v>
      </c>
      <c r="I1424" s="110"/>
    </row>
    <row r="1425" spans="1:9" ht="16.350000000000001" customHeight="1">
      <c r="A1425" s="45">
        <v>6</v>
      </c>
      <c r="B1425" s="85"/>
      <c r="C1425" s="85"/>
      <c r="D1425" s="9"/>
      <c r="E1425" s="11"/>
      <c r="F1425" s="130">
        <f t="shared" si="281"/>
        <v>0</v>
      </c>
      <c r="G1425" s="131">
        <f t="shared" si="282"/>
        <v>0</v>
      </c>
      <c r="I1425" s="110"/>
    </row>
    <row r="1426" spans="1:9" s="13" customFormat="1" ht="16.350000000000001" customHeight="1">
      <c r="A1426" s="47" t="s">
        <v>801</v>
      </c>
      <c r="B1426" s="5"/>
      <c r="C1426" s="5"/>
      <c r="D1426" s="28"/>
      <c r="E1426" s="28"/>
      <c r="F1426" s="28"/>
      <c r="G1426" s="56"/>
      <c r="I1426" s="112"/>
    </row>
    <row r="1427" spans="1:9" ht="16.350000000000001" customHeight="1">
      <c r="A1427" s="43" t="s">
        <v>0</v>
      </c>
      <c r="B1427" s="7" t="s">
        <v>1</v>
      </c>
      <c r="C1427" s="8" t="s">
        <v>4</v>
      </c>
      <c r="D1427" s="7" t="s">
        <v>2</v>
      </c>
      <c r="E1427" s="7" t="s">
        <v>6</v>
      </c>
      <c r="F1427" s="7" t="s">
        <v>7</v>
      </c>
      <c r="G1427" s="44" t="s">
        <v>8</v>
      </c>
      <c r="I1427" s="110"/>
    </row>
    <row r="1428" spans="1:9" ht="16.350000000000001" customHeight="1">
      <c r="A1428" s="45">
        <v>1</v>
      </c>
      <c r="B1428" s="85"/>
      <c r="C1428" s="85"/>
      <c r="D1428" s="9"/>
      <c r="E1428" s="11"/>
      <c r="F1428" s="10">
        <f>IF(E1428="",0,IF(E1428&gt;0,RANK(E1428,$E$1428:$E$1433,1)))</f>
        <v>0</v>
      </c>
      <c r="G1428" s="46">
        <f>VLOOKUP(F1428,$L$3:$M$33,2,0)</f>
        <v>0</v>
      </c>
      <c r="I1428" s="110"/>
    </row>
    <row r="1429" spans="1:9" ht="16.350000000000001" customHeight="1">
      <c r="A1429" s="45">
        <v>2</v>
      </c>
      <c r="B1429" s="120"/>
      <c r="C1429" s="120"/>
      <c r="D1429" s="9"/>
      <c r="E1429" s="11"/>
      <c r="F1429" s="10">
        <f t="shared" ref="F1429:F1433" si="283">IF(E1429="",0,IF(E1429&gt;0,RANK(E1429,$E$1428:$E$1433,1)))</f>
        <v>0</v>
      </c>
      <c r="G1429" s="46">
        <f t="shared" ref="G1429:G1433" si="284">VLOOKUP(F1429,$L$3:$M$33,2,0)</f>
        <v>0</v>
      </c>
      <c r="I1429" s="110"/>
    </row>
    <row r="1430" spans="1:9" ht="16.350000000000001" customHeight="1">
      <c r="A1430" s="45">
        <v>3</v>
      </c>
      <c r="B1430" s="120" t="s">
        <v>711</v>
      </c>
      <c r="C1430" s="120" t="s">
        <v>64</v>
      </c>
      <c r="D1430" s="9"/>
      <c r="E1430" s="11"/>
      <c r="F1430" s="10">
        <f t="shared" si="283"/>
        <v>0</v>
      </c>
      <c r="G1430" s="46">
        <f t="shared" si="284"/>
        <v>0</v>
      </c>
      <c r="I1430" s="110"/>
    </row>
    <row r="1431" spans="1:9" ht="16.350000000000001" customHeight="1">
      <c r="A1431" s="45">
        <v>4</v>
      </c>
      <c r="B1431" s="120" t="s">
        <v>803</v>
      </c>
      <c r="C1431" s="120" t="s">
        <v>401</v>
      </c>
      <c r="D1431" s="9"/>
      <c r="E1431" s="11"/>
      <c r="F1431" s="10">
        <f t="shared" si="283"/>
        <v>0</v>
      </c>
      <c r="G1431" s="46">
        <f t="shared" si="284"/>
        <v>0</v>
      </c>
      <c r="I1431" s="110"/>
    </row>
    <row r="1432" spans="1:9" ht="16.350000000000001" customHeight="1">
      <c r="A1432" s="45">
        <v>5</v>
      </c>
      <c r="B1432" s="85"/>
      <c r="C1432" s="85"/>
      <c r="D1432" s="9"/>
      <c r="E1432" s="11"/>
      <c r="F1432" s="10">
        <f t="shared" si="283"/>
        <v>0</v>
      </c>
      <c r="G1432" s="46">
        <f t="shared" si="284"/>
        <v>0</v>
      </c>
      <c r="I1432" s="110"/>
    </row>
    <row r="1433" spans="1:9" ht="16.350000000000001" customHeight="1">
      <c r="A1433" s="45">
        <v>6</v>
      </c>
      <c r="B1433" s="1"/>
      <c r="C1433" s="2"/>
      <c r="D1433" s="9"/>
      <c r="E1433" s="11"/>
      <c r="F1433" s="10">
        <f t="shared" si="283"/>
        <v>0</v>
      </c>
      <c r="G1433" s="46">
        <f t="shared" si="284"/>
        <v>0</v>
      </c>
      <c r="I1433" s="110"/>
    </row>
    <row r="1434" spans="1:9" s="61" customFormat="1" ht="16.350000000000001" customHeight="1">
      <c r="A1434" s="47" t="s">
        <v>804</v>
      </c>
      <c r="B1434" s="63"/>
      <c r="C1434" s="68"/>
      <c r="D1434" s="65"/>
      <c r="E1434" s="65"/>
      <c r="F1434" s="65"/>
      <c r="G1434" s="66"/>
    </row>
    <row r="1435" spans="1:9" ht="16.350000000000001" customHeight="1">
      <c r="A1435" s="43" t="s">
        <v>0</v>
      </c>
      <c r="B1435" s="7" t="s">
        <v>1</v>
      </c>
      <c r="C1435" s="8" t="s">
        <v>4</v>
      </c>
      <c r="D1435" s="7" t="s">
        <v>2</v>
      </c>
      <c r="E1435" s="7" t="s">
        <v>6</v>
      </c>
      <c r="F1435" s="7" t="s">
        <v>7</v>
      </c>
      <c r="G1435" s="44" t="s">
        <v>8</v>
      </c>
      <c r="I1435" s="110"/>
    </row>
    <row r="1436" spans="1:9" ht="16.350000000000001" customHeight="1">
      <c r="A1436" s="45">
        <v>1</v>
      </c>
      <c r="B1436" s="134" t="s">
        <v>805</v>
      </c>
      <c r="C1436" s="126" t="s">
        <v>806</v>
      </c>
      <c r="D1436" s="9"/>
      <c r="E1436" s="9"/>
      <c r="F1436" s="10">
        <f>IF(E1436="",0,IF(E1436&gt;0,RANK(E1436,$E$1436:$E$1441,1)))</f>
        <v>0</v>
      </c>
      <c r="G1436" s="46">
        <f>VLOOKUP(F1436,$L$3:$M$33,2,0)</f>
        <v>0</v>
      </c>
      <c r="I1436" s="110"/>
    </row>
    <row r="1437" spans="1:9" ht="16.350000000000001" customHeight="1">
      <c r="A1437" s="45">
        <v>2</v>
      </c>
      <c r="B1437" s="120" t="s">
        <v>723</v>
      </c>
      <c r="C1437" s="120" t="s">
        <v>807</v>
      </c>
      <c r="D1437" s="9"/>
      <c r="E1437" s="9"/>
      <c r="F1437" s="10">
        <f t="shared" ref="F1437:F1441" si="285">IF(E1437="",0,IF(E1437&gt;0,RANK(E1437,$E$1436:$E$1441,1)))</f>
        <v>0</v>
      </c>
      <c r="G1437" s="46">
        <f t="shared" ref="G1437:G1441" si="286">VLOOKUP(F1437,$L$3:$M$33,2,0)</f>
        <v>0</v>
      </c>
      <c r="I1437" s="110"/>
    </row>
    <row r="1438" spans="1:9" ht="16.350000000000001" customHeight="1">
      <c r="A1438" s="45">
        <v>3</v>
      </c>
      <c r="B1438" s="127" t="s">
        <v>433</v>
      </c>
      <c r="C1438" s="120" t="s">
        <v>84</v>
      </c>
      <c r="D1438" s="9"/>
      <c r="E1438" s="9"/>
      <c r="F1438" s="10">
        <f t="shared" si="285"/>
        <v>0</v>
      </c>
      <c r="G1438" s="46">
        <f t="shared" si="286"/>
        <v>0</v>
      </c>
      <c r="I1438" s="110"/>
    </row>
    <row r="1439" spans="1:9" ht="16.350000000000001" customHeight="1">
      <c r="A1439" s="45">
        <v>4</v>
      </c>
      <c r="B1439" s="120" t="s">
        <v>640</v>
      </c>
      <c r="C1439" s="120" t="s">
        <v>13</v>
      </c>
      <c r="D1439" s="9"/>
      <c r="E1439" s="9"/>
      <c r="F1439" s="10">
        <f t="shared" si="285"/>
        <v>0</v>
      </c>
      <c r="G1439" s="46">
        <f t="shared" si="286"/>
        <v>0</v>
      </c>
      <c r="I1439" s="110"/>
    </row>
    <row r="1440" spans="1:9" ht="16.350000000000001" customHeight="1">
      <c r="A1440" s="45">
        <v>5</v>
      </c>
      <c r="B1440" s="120" t="s">
        <v>436</v>
      </c>
      <c r="C1440" s="120" t="s">
        <v>88</v>
      </c>
      <c r="D1440" s="9"/>
      <c r="E1440" s="9"/>
      <c r="F1440" s="10">
        <f t="shared" si="285"/>
        <v>0</v>
      </c>
      <c r="G1440" s="46">
        <f t="shared" si="286"/>
        <v>0</v>
      </c>
      <c r="I1440" s="110"/>
    </row>
    <row r="1441" spans="1:9" ht="16.350000000000001" customHeight="1">
      <c r="A1441" s="45">
        <v>6</v>
      </c>
      <c r="B1441" s="85"/>
      <c r="C1441" s="85"/>
      <c r="D1441" s="9"/>
      <c r="E1441" s="9"/>
      <c r="F1441" s="10">
        <f t="shared" si="285"/>
        <v>0</v>
      </c>
      <c r="G1441" s="46">
        <f t="shared" si="286"/>
        <v>0</v>
      </c>
      <c r="I1441" s="110"/>
    </row>
    <row r="1442" spans="1:9" s="61" customFormat="1" ht="16.350000000000001" customHeight="1">
      <c r="A1442" s="47" t="s">
        <v>808</v>
      </c>
      <c r="B1442" s="63"/>
      <c r="C1442" s="68"/>
      <c r="D1442" s="65"/>
      <c r="E1442" s="65"/>
      <c r="F1442" s="65"/>
      <c r="G1442" s="66"/>
      <c r="I1442" s="110"/>
    </row>
    <row r="1443" spans="1:9" ht="16.350000000000001" customHeight="1">
      <c r="A1443" s="43" t="s">
        <v>0</v>
      </c>
      <c r="B1443" s="7" t="s">
        <v>1</v>
      </c>
      <c r="C1443" s="8" t="s">
        <v>4</v>
      </c>
      <c r="D1443" s="7" t="s">
        <v>2</v>
      </c>
      <c r="E1443" s="7" t="s">
        <v>6</v>
      </c>
      <c r="F1443" s="7" t="s">
        <v>7</v>
      </c>
      <c r="G1443" s="44" t="s">
        <v>8</v>
      </c>
      <c r="I1443" s="110"/>
    </row>
    <row r="1444" spans="1:9" ht="16.350000000000001" customHeight="1">
      <c r="A1444" s="45">
        <v>1</v>
      </c>
      <c r="B1444" s="85"/>
      <c r="C1444" s="85"/>
      <c r="D1444" s="9"/>
      <c r="E1444" s="9"/>
      <c r="F1444" s="10">
        <f>IF(E1444="",0,IF(E1444&gt;0,RANK(E1444,$E$1444:$E$1449,1)))</f>
        <v>0</v>
      </c>
      <c r="G1444" s="46">
        <f>VLOOKUP(F1444,$L$3:$M$33,2,0)</f>
        <v>0</v>
      </c>
      <c r="I1444" s="110"/>
    </row>
    <row r="1445" spans="1:9" ht="16.350000000000001" customHeight="1">
      <c r="A1445" s="45">
        <v>2</v>
      </c>
      <c r="B1445" s="85"/>
      <c r="C1445" s="85"/>
      <c r="D1445" s="9"/>
      <c r="E1445" s="9"/>
      <c r="F1445" s="10">
        <f t="shared" ref="F1445:F1449" si="287">IF(E1445="",0,IF(E1445&gt;0,RANK(E1445,$E$1444:$E$1449,1)))</f>
        <v>0</v>
      </c>
      <c r="G1445" s="46">
        <f t="shared" ref="G1445:G1449" si="288">VLOOKUP(F1445,$L$3:$M$33,2,0)</f>
        <v>0</v>
      </c>
      <c r="I1445" s="110"/>
    </row>
    <row r="1446" spans="1:9" ht="16.350000000000001" customHeight="1">
      <c r="A1446" s="45">
        <v>3</v>
      </c>
      <c r="B1446" s="120" t="s">
        <v>442</v>
      </c>
      <c r="C1446" s="120" t="s">
        <v>53</v>
      </c>
      <c r="D1446" s="9"/>
      <c r="E1446" s="9"/>
      <c r="F1446" s="10">
        <f t="shared" si="287"/>
        <v>0</v>
      </c>
      <c r="G1446" s="46">
        <f t="shared" si="288"/>
        <v>0</v>
      </c>
      <c r="I1446" s="110"/>
    </row>
    <row r="1447" spans="1:9" ht="16.350000000000001" customHeight="1">
      <c r="A1447" s="45">
        <v>4</v>
      </c>
      <c r="B1447" s="120" t="s">
        <v>443</v>
      </c>
      <c r="C1447" s="120" t="s">
        <v>809</v>
      </c>
      <c r="D1447" s="9"/>
      <c r="E1447" s="9"/>
      <c r="F1447" s="10">
        <f t="shared" si="287"/>
        <v>0</v>
      </c>
      <c r="G1447" s="46">
        <f t="shared" si="288"/>
        <v>0</v>
      </c>
      <c r="I1447" s="110"/>
    </row>
    <row r="1448" spans="1:9" ht="16.350000000000001" customHeight="1">
      <c r="A1448" s="45">
        <v>5</v>
      </c>
      <c r="B1448" s="85"/>
      <c r="C1448" s="85"/>
      <c r="D1448" s="9"/>
      <c r="E1448" s="9"/>
      <c r="F1448" s="10">
        <f t="shared" si="287"/>
        <v>0</v>
      </c>
      <c r="G1448" s="46">
        <f t="shared" si="288"/>
        <v>0</v>
      </c>
      <c r="I1448" s="110"/>
    </row>
    <row r="1449" spans="1:9" ht="16.350000000000001" customHeight="1">
      <c r="A1449" s="45">
        <v>6</v>
      </c>
      <c r="B1449" s="85"/>
      <c r="C1449" s="85"/>
      <c r="D1449" s="9"/>
      <c r="E1449" s="9"/>
      <c r="F1449" s="10">
        <f t="shared" si="287"/>
        <v>0</v>
      </c>
      <c r="G1449" s="46">
        <f t="shared" si="288"/>
        <v>0</v>
      </c>
      <c r="I1449" s="110"/>
    </row>
    <row r="1450" spans="1:9" ht="16.350000000000001" customHeight="1">
      <c r="A1450" s="47" t="s">
        <v>810</v>
      </c>
      <c r="B1450" s="63"/>
      <c r="C1450" s="68"/>
      <c r="D1450" s="65"/>
      <c r="E1450" s="65"/>
      <c r="F1450" s="65"/>
      <c r="G1450" s="66"/>
    </row>
    <row r="1451" spans="1:9" ht="16.350000000000001" customHeight="1">
      <c r="A1451" s="43" t="s">
        <v>0</v>
      </c>
      <c r="B1451" s="7" t="s">
        <v>1</v>
      </c>
      <c r="C1451" s="8" t="s">
        <v>4</v>
      </c>
      <c r="D1451" s="7" t="s">
        <v>2</v>
      </c>
      <c r="E1451" s="7" t="s">
        <v>6</v>
      </c>
      <c r="F1451" s="128" t="s">
        <v>7</v>
      </c>
      <c r="G1451" s="129" t="s">
        <v>8</v>
      </c>
    </row>
    <row r="1452" spans="1:9" ht="16.350000000000001" customHeight="1">
      <c r="A1452" s="45">
        <v>1</v>
      </c>
      <c r="B1452" s="120" t="s">
        <v>811</v>
      </c>
      <c r="C1452" s="120" t="s">
        <v>812</v>
      </c>
      <c r="D1452" s="9"/>
      <c r="E1452" s="9"/>
      <c r="F1452" s="130">
        <f>IF(E1452="",0,IF(E1452&gt;0,RANK(E1452,E1452:E1465,1)))</f>
        <v>0</v>
      </c>
      <c r="G1452" s="131">
        <f>VLOOKUP(F1452,$L$3:$M$33,2,0)</f>
        <v>0</v>
      </c>
    </row>
    <row r="1453" spans="1:9" ht="16.350000000000001" customHeight="1">
      <c r="A1453" s="45">
        <v>2</v>
      </c>
      <c r="B1453" s="120" t="s">
        <v>736</v>
      </c>
      <c r="C1453" s="120" t="s">
        <v>269</v>
      </c>
      <c r="D1453" s="9"/>
      <c r="E1453" s="9"/>
      <c r="F1453" s="130">
        <f>IF(E1453="",0,IF(E1453&gt;0,RANK(E1453,E1452:E1465,1)))</f>
        <v>0</v>
      </c>
      <c r="G1453" s="131">
        <f t="shared" ref="G1453:G1457" si="289">VLOOKUP(F1453,$L$3:$M$33,2,0)</f>
        <v>0</v>
      </c>
    </row>
    <row r="1454" spans="1:9" ht="16.350000000000001" customHeight="1">
      <c r="A1454" s="45">
        <v>3</v>
      </c>
      <c r="B1454" s="120" t="s">
        <v>750</v>
      </c>
      <c r="C1454" s="120" t="s">
        <v>269</v>
      </c>
      <c r="D1454" s="9"/>
      <c r="E1454" s="9"/>
      <c r="F1454" s="130">
        <f>IF(E1454="",0,IF(E1454&gt;0,RANK(E1454,E1452:E1465,1)))</f>
        <v>0</v>
      </c>
      <c r="G1454" s="131">
        <f t="shared" si="289"/>
        <v>0</v>
      </c>
    </row>
    <row r="1455" spans="1:9" ht="16.350000000000001" customHeight="1">
      <c r="A1455" s="45">
        <v>4</v>
      </c>
      <c r="B1455" s="120" t="s">
        <v>452</v>
      </c>
      <c r="C1455" s="120" t="s">
        <v>53</v>
      </c>
      <c r="D1455" s="9"/>
      <c r="E1455" s="9"/>
      <c r="F1455" s="130">
        <f>IF(E1455="",0,IF(E1455&gt;0,RANK(E1455,E1452:E1465,1)))</f>
        <v>0</v>
      </c>
      <c r="G1455" s="131">
        <f t="shared" si="289"/>
        <v>0</v>
      </c>
    </row>
    <row r="1456" spans="1:9" ht="16.350000000000001" customHeight="1">
      <c r="A1456" s="45">
        <v>5</v>
      </c>
      <c r="B1456" s="120" t="s">
        <v>737</v>
      </c>
      <c r="C1456" s="120" t="s">
        <v>547</v>
      </c>
      <c r="D1456" s="9"/>
      <c r="E1456" s="9"/>
      <c r="F1456" s="130">
        <f>IF(E1456="",0,IF(E1456&gt;0,RANK(E1456,E1452:E1465,1)))</f>
        <v>0</v>
      </c>
      <c r="G1456" s="131">
        <f t="shared" si="289"/>
        <v>0</v>
      </c>
    </row>
    <row r="1457" spans="1:12" ht="16.350000000000001" customHeight="1">
      <c r="A1457" s="45">
        <v>6</v>
      </c>
      <c r="B1457" s="120" t="s">
        <v>813</v>
      </c>
      <c r="C1457" s="120" t="s">
        <v>547</v>
      </c>
      <c r="D1457" s="9"/>
      <c r="E1457" s="9"/>
      <c r="F1457" s="130">
        <f>IF(E1457="",0,IF(E1457&gt;0,RANK(E1457,E1452:E1465,1)))</f>
        <v>0</v>
      </c>
      <c r="G1457" s="131">
        <f t="shared" si="289"/>
        <v>0</v>
      </c>
    </row>
    <row r="1458" spans="1:12" ht="16.350000000000001" customHeight="1">
      <c r="A1458" s="47" t="s">
        <v>814</v>
      </c>
      <c r="B1458" s="5"/>
      <c r="C1458" s="6"/>
      <c r="F1458" s="133"/>
      <c r="G1458" s="132"/>
    </row>
    <row r="1459" spans="1:12" ht="16.350000000000001" customHeight="1">
      <c r="A1459" s="43" t="s">
        <v>0</v>
      </c>
      <c r="B1459" s="7" t="s">
        <v>1</v>
      </c>
      <c r="C1459" s="8" t="s">
        <v>4</v>
      </c>
      <c r="D1459" s="7" t="s">
        <v>2</v>
      </c>
      <c r="E1459" s="7" t="s">
        <v>6</v>
      </c>
      <c r="F1459" s="128" t="s">
        <v>7</v>
      </c>
      <c r="G1459" s="129" t="s">
        <v>8</v>
      </c>
      <c r="I1459" s="110"/>
    </row>
    <row r="1460" spans="1:12" ht="16.350000000000001" customHeight="1">
      <c r="A1460" s="45">
        <v>1</v>
      </c>
      <c r="B1460" s="120" t="s">
        <v>548</v>
      </c>
      <c r="C1460" s="120" t="s">
        <v>465</v>
      </c>
      <c r="D1460" s="9"/>
      <c r="E1460" s="9"/>
      <c r="F1460" s="130">
        <f>IF(E1460="",0,IF(E1460&gt;0,RANK(E1460,$E$1452:$E$1465,1)))</f>
        <v>0</v>
      </c>
      <c r="G1460" s="131">
        <f>VLOOKUP(F1460,$L$3:$M$33,2,0)</f>
        <v>0</v>
      </c>
      <c r="I1460" s="110"/>
    </row>
    <row r="1461" spans="1:12" ht="16.350000000000001" customHeight="1">
      <c r="A1461" s="45">
        <v>2</v>
      </c>
      <c r="B1461" s="126" t="s">
        <v>648</v>
      </c>
      <c r="C1461" s="120" t="s">
        <v>551</v>
      </c>
      <c r="D1461" s="9"/>
      <c r="E1461" s="9"/>
      <c r="F1461" s="130">
        <f t="shared" ref="F1461:F1465" si="290">IF(E1461="",0,IF(E1461&gt;0,RANK(E1461,$E$1452:$E$1465,1)))</f>
        <v>0</v>
      </c>
      <c r="G1461" s="131">
        <f t="shared" ref="G1461:G1465" si="291">VLOOKUP(F1461,$L$3:$M$33,2,0)</f>
        <v>0</v>
      </c>
      <c r="I1461" s="110"/>
    </row>
    <row r="1462" spans="1:12" ht="16.350000000000001" customHeight="1">
      <c r="A1462" s="45">
        <v>3</v>
      </c>
      <c r="B1462" s="120" t="s">
        <v>649</v>
      </c>
      <c r="C1462" s="120" t="s">
        <v>88</v>
      </c>
      <c r="D1462" s="9"/>
      <c r="E1462" s="9"/>
      <c r="F1462" s="130">
        <f t="shared" si="290"/>
        <v>0</v>
      </c>
      <c r="G1462" s="131">
        <f t="shared" si="291"/>
        <v>0</v>
      </c>
      <c r="I1462" s="110"/>
    </row>
    <row r="1463" spans="1:12" ht="16.350000000000001" customHeight="1">
      <c r="A1463" s="45">
        <v>4</v>
      </c>
      <c r="B1463" s="120" t="s">
        <v>650</v>
      </c>
      <c r="C1463" s="120" t="s">
        <v>88</v>
      </c>
      <c r="D1463" s="9"/>
      <c r="E1463" s="9"/>
      <c r="F1463" s="130">
        <f t="shared" si="290"/>
        <v>0</v>
      </c>
      <c r="G1463" s="131">
        <f t="shared" si="291"/>
        <v>0</v>
      </c>
      <c r="I1463" s="110"/>
    </row>
    <row r="1464" spans="1:12" ht="16.350000000000001" customHeight="1">
      <c r="A1464" s="45">
        <v>5</v>
      </c>
      <c r="B1464" s="120" t="s">
        <v>739</v>
      </c>
      <c r="C1464" s="120" t="s">
        <v>88</v>
      </c>
      <c r="D1464" s="9"/>
      <c r="E1464" s="9"/>
      <c r="F1464" s="130">
        <f t="shared" si="290"/>
        <v>0</v>
      </c>
      <c r="G1464" s="131">
        <f t="shared" si="291"/>
        <v>0</v>
      </c>
      <c r="I1464" s="110"/>
    </row>
    <row r="1465" spans="1:12" ht="16.350000000000001" customHeight="1">
      <c r="A1465" s="45">
        <v>6</v>
      </c>
      <c r="B1465" s="85"/>
      <c r="C1465" s="85"/>
      <c r="D1465" s="9"/>
      <c r="E1465" s="9"/>
      <c r="F1465" s="130">
        <f t="shared" si="290"/>
        <v>0</v>
      </c>
      <c r="G1465" s="131">
        <f t="shared" si="291"/>
        <v>0</v>
      </c>
      <c r="I1465" s="110"/>
    </row>
    <row r="1466" spans="1:12" ht="16.350000000000001" customHeight="1">
      <c r="A1466" s="47" t="s">
        <v>815</v>
      </c>
      <c r="B1466" s="5"/>
      <c r="C1466" s="6"/>
      <c r="G1466" s="48"/>
      <c r="I1466" s="110"/>
    </row>
    <row r="1467" spans="1:12" ht="16.350000000000001" customHeight="1">
      <c r="A1467" s="43" t="s">
        <v>0</v>
      </c>
      <c r="B1467" s="7" t="s">
        <v>1</v>
      </c>
      <c r="C1467" s="8" t="s">
        <v>4</v>
      </c>
      <c r="D1467" s="7" t="s">
        <v>2</v>
      </c>
      <c r="E1467" s="7" t="s">
        <v>6</v>
      </c>
      <c r="F1467" s="128" t="s">
        <v>7</v>
      </c>
      <c r="G1467" s="129" t="s">
        <v>8</v>
      </c>
      <c r="I1467" s="110"/>
    </row>
    <row r="1468" spans="1:12" ht="16.350000000000001" customHeight="1">
      <c r="A1468" s="45">
        <v>1</v>
      </c>
      <c r="B1468" s="120" t="s">
        <v>463</v>
      </c>
      <c r="C1468" s="120" t="s">
        <v>64</v>
      </c>
      <c r="D1468" s="9"/>
      <c r="E1468" s="9"/>
      <c r="F1468" s="130">
        <f>IF(E1468="",0,IF(E1468&gt;0,RANK(E1468,$E$1468:$E$1481,1)))</f>
        <v>0</v>
      </c>
      <c r="G1468" s="131">
        <f>VLOOKUP(F1468,$L$3:$M$33,2,0)</f>
        <v>0</v>
      </c>
      <c r="I1468" s="110"/>
    </row>
    <row r="1469" spans="1:12" ht="16.350000000000001" customHeight="1">
      <c r="A1469" s="45">
        <v>2</v>
      </c>
      <c r="B1469" s="120" t="s">
        <v>657</v>
      </c>
      <c r="C1469" s="120" t="s">
        <v>64</v>
      </c>
      <c r="D1469" s="9"/>
      <c r="E1469" s="9"/>
      <c r="F1469" s="130">
        <f t="shared" ref="F1469:F1473" si="292">IF(E1469="",0,IF(E1469&gt;0,RANK(E1469,$E$1468:$E$1481,1)))</f>
        <v>0</v>
      </c>
      <c r="G1469" s="131">
        <f t="shared" ref="G1469:G1473" si="293">VLOOKUP(F1469,$L$3:$M$33,2,0)</f>
        <v>0</v>
      </c>
      <c r="I1469" s="110"/>
    </row>
    <row r="1470" spans="1:12" ht="15.75" customHeight="1">
      <c r="A1470" s="45">
        <v>3</v>
      </c>
      <c r="B1470" s="127" t="s">
        <v>755</v>
      </c>
      <c r="C1470" s="120" t="s">
        <v>60</v>
      </c>
      <c r="D1470" s="9"/>
      <c r="E1470" s="9"/>
      <c r="F1470" s="130">
        <f t="shared" si="292"/>
        <v>0</v>
      </c>
      <c r="G1470" s="131">
        <f t="shared" si="293"/>
        <v>0</v>
      </c>
      <c r="I1470" s="110"/>
    </row>
    <row r="1471" spans="1:12" ht="16.350000000000001" customHeight="1">
      <c r="A1471" s="45">
        <v>4</v>
      </c>
      <c r="B1471" s="127" t="s">
        <v>756</v>
      </c>
      <c r="C1471" s="120" t="s">
        <v>60</v>
      </c>
      <c r="D1471" s="9"/>
      <c r="E1471" s="9"/>
      <c r="F1471" s="130">
        <f t="shared" si="292"/>
        <v>0</v>
      </c>
      <c r="G1471" s="131">
        <f t="shared" si="293"/>
        <v>0</v>
      </c>
      <c r="I1471" s="110"/>
    </row>
    <row r="1472" spans="1:12" ht="16.350000000000001" customHeight="1">
      <c r="A1472" s="45">
        <v>5</v>
      </c>
      <c r="B1472" s="127" t="s">
        <v>464</v>
      </c>
      <c r="C1472" s="120" t="s">
        <v>465</v>
      </c>
      <c r="D1472" s="9"/>
      <c r="E1472" s="9"/>
      <c r="F1472" s="130">
        <f t="shared" si="292"/>
        <v>0</v>
      </c>
      <c r="G1472" s="131">
        <f t="shared" si="293"/>
        <v>0</v>
      </c>
      <c r="I1472" s="110"/>
      <c r="L1472" s="94"/>
    </row>
    <row r="1473" spans="1:12" ht="16.350000000000001" customHeight="1">
      <c r="A1473" s="45">
        <v>6</v>
      </c>
      <c r="B1473" s="85"/>
      <c r="C1473" s="85"/>
      <c r="D1473" s="9"/>
      <c r="E1473" s="9"/>
      <c r="F1473" s="130">
        <f t="shared" si="292"/>
        <v>0</v>
      </c>
      <c r="G1473" s="131">
        <f t="shared" si="293"/>
        <v>0</v>
      </c>
      <c r="I1473" s="110"/>
      <c r="L1473" s="94"/>
    </row>
    <row r="1474" spans="1:12" ht="16.350000000000001" customHeight="1">
      <c r="A1474" s="47" t="s">
        <v>816</v>
      </c>
      <c r="B1474" s="5"/>
      <c r="C1474" s="6"/>
      <c r="F1474" s="133"/>
      <c r="G1474" s="132"/>
      <c r="I1474" s="110"/>
    </row>
    <row r="1475" spans="1:12" ht="16.350000000000001" customHeight="1">
      <c r="A1475" s="43" t="s">
        <v>0</v>
      </c>
      <c r="B1475" s="7" t="s">
        <v>1</v>
      </c>
      <c r="C1475" s="8" t="s">
        <v>4</v>
      </c>
      <c r="D1475" s="7" t="s">
        <v>2</v>
      </c>
      <c r="E1475" s="7" t="s">
        <v>6</v>
      </c>
      <c r="F1475" s="128" t="s">
        <v>7</v>
      </c>
      <c r="G1475" s="129" t="s">
        <v>8</v>
      </c>
      <c r="I1475" s="110"/>
    </row>
    <row r="1476" spans="1:12" ht="16.350000000000001" customHeight="1">
      <c r="A1476" s="45">
        <v>1</v>
      </c>
      <c r="B1476" s="85"/>
      <c r="C1476" s="85"/>
      <c r="D1476" s="9"/>
      <c r="E1476" s="9"/>
      <c r="F1476" s="130">
        <f>IF(E1476="",0,IF(E1476&gt;0,RANK(E1476,$E$1468:$E$1481,1)))</f>
        <v>0</v>
      </c>
      <c r="G1476" s="131">
        <f>VLOOKUP(F1476,$L$3:$M$33,2,0)</f>
        <v>0</v>
      </c>
      <c r="I1476" s="110"/>
      <c r="L1476" s="94"/>
    </row>
    <row r="1477" spans="1:12" ht="16.350000000000001" customHeight="1">
      <c r="A1477" s="45">
        <v>2</v>
      </c>
      <c r="B1477" s="127" t="s">
        <v>817</v>
      </c>
      <c r="C1477" s="120" t="s">
        <v>84</v>
      </c>
      <c r="D1477" s="9"/>
      <c r="E1477" s="9"/>
      <c r="F1477" s="130">
        <f t="shared" ref="F1477:F1481" si="294">IF(E1477="",0,IF(E1477&gt;0,RANK(E1477,$E$1468:$E$1481,1)))</f>
        <v>0</v>
      </c>
      <c r="G1477" s="131">
        <f t="shared" ref="G1477:G1481" si="295">VLOOKUP(F1477,$L$3:$M$33,2,0)</f>
        <v>0</v>
      </c>
      <c r="I1477" s="110"/>
      <c r="L1477" s="94"/>
    </row>
    <row r="1478" spans="1:12" ht="15.75" customHeight="1">
      <c r="A1478" s="45">
        <v>3</v>
      </c>
      <c r="B1478" s="127" t="s">
        <v>658</v>
      </c>
      <c r="C1478" s="120" t="s">
        <v>13</v>
      </c>
      <c r="D1478" s="9"/>
      <c r="E1478" s="9"/>
      <c r="F1478" s="130">
        <f t="shared" si="294"/>
        <v>0</v>
      </c>
      <c r="G1478" s="131">
        <f t="shared" si="295"/>
        <v>0</v>
      </c>
      <c r="I1478" s="110"/>
    </row>
    <row r="1479" spans="1:12" ht="16.350000000000001" customHeight="1">
      <c r="A1479" s="45">
        <v>4</v>
      </c>
      <c r="B1479" s="120" t="s">
        <v>466</v>
      </c>
      <c r="C1479" s="120" t="s">
        <v>818</v>
      </c>
      <c r="D1479" s="9"/>
      <c r="E1479" s="9"/>
      <c r="F1479" s="130">
        <f t="shared" si="294"/>
        <v>0</v>
      </c>
      <c r="G1479" s="131">
        <f t="shared" si="295"/>
        <v>0</v>
      </c>
      <c r="I1479" s="110"/>
    </row>
    <row r="1480" spans="1:12" ht="16.350000000000001" customHeight="1">
      <c r="A1480" s="45">
        <v>5</v>
      </c>
      <c r="B1480" s="120" t="s">
        <v>819</v>
      </c>
      <c r="C1480" s="120" t="s">
        <v>88</v>
      </c>
      <c r="D1480" s="9"/>
      <c r="E1480" s="9"/>
      <c r="F1480" s="130">
        <f t="shared" si="294"/>
        <v>0</v>
      </c>
      <c r="G1480" s="131">
        <f t="shared" si="295"/>
        <v>0</v>
      </c>
      <c r="I1480" s="110"/>
    </row>
    <row r="1481" spans="1:12" ht="16.350000000000001" customHeight="1">
      <c r="A1481" s="45">
        <v>6</v>
      </c>
      <c r="B1481" s="85"/>
      <c r="C1481" s="85"/>
      <c r="D1481" s="9"/>
      <c r="E1481" s="9"/>
      <c r="F1481" s="130">
        <f t="shared" si="294"/>
        <v>0</v>
      </c>
      <c r="G1481" s="131">
        <f t="shared" si="295"/>
        <v>0</v>
      </c>
      <c r="I1481" s="110"/>
    </row>
    <row r="1482" spans="1:12" ht="16.350000000000001" customHeight="1">
      <c r="A1482" s="47" t="s">
        <v>820</v>
      </c>
      <c r="B1482" s="5"/>
      <c r="C1482" s="6"/>
      <c r="G1482" s="48"/>
      <c r="I1482" s="110"/>
    </row>
    <row r="1483" spans="1:12" ht="16.350000000000001" customHeight="1">
      <c r="A1483" s="43" t="s">
        <v>0</v>
      </c>
      <c r="B1483" s="7" t="s">
        <v>1</v>
      </c>
      <c r="C1483" s="8" t="s">
        <v>4</v>
      </c>
      <c r="D1483" s="7" t="s">
        <v>2</v>
      </c>
      <c r="E1483" s="7" t="s">
        <v>6</v>
      </c>
      <c r="F1483" s="128" t="s">
        <v>7</v>
      </c>
      <c r="G1483" s="129" t="s">
        <v>8</v>
      </c>
      <c r="I1483" s="110"/>
    </row>
    <row r="1484" spans="1:12" ht="16.350000000000001" customHeight="1">
      <c r="A1484" s="45">
        <v>1</v>
      </c>
      <c r="B1484" s="120" t="s">
        <v>822</v>
      </c>
      <c r="C1484" s="120" t="s">
        <v>64</v>
      </c>
      <c r="D1484" s="9"/>
      <c r="E1484" s="9"/>
      <c r="F1484" s="130">
        <f>IF(E1484="",0,IF(E1484&gt;0,RANK(E1484,$E$1484:$E$1497,1)))</f>
        <v>0</v>
      </c>
      <c r="G1484" s="131">
        <f>VLOOKUP(F1484,$L$3:$M$33,2,0)</f>
        <v>0</v>
      </c>
      <c r="I1484" s="110"/>
    </row>
    <row r="1485" spans="1:12" ht="16.350000000000001" customHeight="1">
      <c r="A1485" s="45">
        <v>2</v>
      </c>
      <c r="B1485" s="120" t="s">
        <v>823</v>
      </c>
      <c r="C1485" s="120" t="s">
        <v>64</v>
      </c>
      <c r="D1485" s="9"/>
      <c r="E1485" s="9"/>
      <c r="F1485" s="130">
        <f t="shared" ref="F1485:F1489" si="296">IF(E1485="",0,IF(E1485&gt;0,RANK(E1485,$E$1484:$E$1497,1)))</f>
        <v>0</v>
      </c>
      <c r="G1485" s="131">
        <f t="shared" ref="G1485:G1489" si="297">VLOOKUP(F1485,$L$3:$M$33,2,0)</f>
        <v>0</v>
      </c>
      <c r="I1485" s="110"/>
    </row>
    <row r="1486" spans="1:12" ht="15.75" customHeight="1">
      <c r="A1486" s="45">
        <v>3</v>
      </c>
      <c r="B1486" s="127" t="s">
        <v>763</v>
      </c>
      <c r="C1486" s="120" t="s">
        <v>60</v>
      </c>
      <c r="D1486" s="9"/>
      <c r="E1486" s="9"/>
      <c r="F1486" s="130">
        <f t="shared" si="296"/>
        <v>0</v>
      </c>
      <c r="G1486" s="131">
        <f t="shared" si="297"/>
        <v>0</v>
      </c>
      <c r="I1486" s="110"/>
    </row>
    <row r="1487" spans="1:12" ht="16.350000000000001" customHeight="1">
      <c r="A1487" s="45">
        <v>4</v>
      </c>
      <c r="B1487" s="120" t="s">
        <v>764</v>
      </c>
      <c r="C1487" s="120" t="s">
        <v>405</v>
      </c>
      <c r="D1487" s="9"/>
      <c r="E1487" s="9"/>
      <c r="F1487" s="130">
        <f t="shared" si="296"/>
        <v>0</v>
      </c>
      <c r="G1487" s="131">
        <f t="shared" si="297"/>
        <v>0</v>
      </c>
      <c r="I1487" s="110"/>
    </row>
    <row r="1488" spans="1:12" ht="16.350000000000001" customHeight="1">
      <c r="A1488" s="45">
        <v>5</v>
      </c>
      <c r="B1488" s="120" t="s">
        <v>573</v>
      </c>
      <c r="C1488" s="120" t="s">
        <v>14</v>
      </c>
      <c r="D1488" s="9"/>
      <c r="E1488" s="9"/>
      <c r="F1488" s="130">
        <f t="shared" si="296"/>
        <v>0</v>
      </c>
      <c r="G1488" s="131">
        <f t="shared" si="297"/>
        <v>0</v>
      </c>
      <c r="I1488" s="110"/>
    </row>
    <row r="1489" spans="1:11" ht="16.350000000000001" customHeight="1">
      <c r="A1489" s="45">
        <v>6</v>
      </c>
      <c r="B1489" s="85"/>
      <c r="C1489" s="85"/>
      <c r="D1489" s="9"/>
      <c r="E1489" s="9"/>
      <c r="F1489" s="130">
        <f t="shared" si="296"/>
        <v>0</v>
      </c>
      <c r="G1489" s="131">
        <f t="shared" si="297"/>
        <v>0</v>
      </c>
      <c r="I1489" s="110"/>
    </row>
    <row r="1490" spans="1:11" ht="16.350000000000001" customHeight="1">
      <c r="A1490" s="47" t="s">
        <v>821</v>
      </c>
      <c r="B1490" s="5"/>
      <c r="C1490" s="6"/>
      <c r="F1490" s="133"/>
      <c r="G1490" s="132"/>
      <c r="I1490" s="110"/>
    </row>
    <row r="1491" spans="1:11" ht="16.350000000000001" customHeight="1">
      <c r="A1491" s="43" t="s">
        <v>0</v>
      </c>
      <c r="B1491" s="7" t="s">
        <v>1</v>
      </c>
      <c r="C1491" s="8" t="s">
        <v>4</v>
      </c>
      <c r="D1491" s="7" t="s">
        <v>2</v>
      </c>
      <c r="E1491" s="7" t="s">
        <v>6</v>
      </c>
      <c r="F1491" s="128" t="s">
        <v>7</v>
      </c>
      <c r="G1491" s="129" t="s">
        <v>8</v>
      </c>
      <c r="I1491" s="110"/>
    </row>
    <row r="1492" spans="1:11" ht="16.350000000000001" customHeight="1">
      <c r="A1492" s="45">
        <v>1</v>
      </c>
      <c r="B1492" s="127" t="s">
        <v>578</v>
      </c>
      <c r="C1492" s="120" t="s">
        <v>13</v>
      </c>
      <c r="D1492" s="9"/>
      <c r="E1492" s="9"/>
      <c r="F1492" s="130">
        <f>IF(E1492="",0,IF(E1492&gt;0,RANK(E1492,$E$1484:$E$1497,1)))</f>
        <v>0</v>
      </c>
      <c r="G1492" s="131">
        <f>VLOOKUP(F1492,$L$3:$M$33,2,0)</f>
        <v>0</v>
      </c>
      <c r="I1492" s="110"/>
    </row>
    <row r="1493" spans="1:11" ht="16.350000000000001" customHeight="1">
      <c r="A1493" s="45">
        <v>2</v>
      </c>
      <c r="B1493" s="120" t="s">
        <v>824</v>
      </c>
      <c r="C1493" s="120" t="s">
        <v>14</v>
      </c>
      <c r="D1493" s="9"/>
      <c r="E1493" s="9"/>
      <c r="F1493" s="130">
        <f t="shared" ref="F1493:F1497" si="298">IF(E1493="",0,IF(E1493&gt;0,RANK(E1493,$E$1484:$E$1497,1)))</f>
        <v>0</v>
      </c>
      <c r="G1493" s="131">
        <f t="shared" ref="G1493:G1497" si="299">VLOOKUP(F1493,$L$3:$M$33,2,0)</f>
        <v>0</v>
      </c>
      <c r="I1493" s="110"/>
    </row>
    <row r="1494" spans="1:11" ht="15.75" customHeight="1">
      <c r="A1494" s="45">
        <v>3</v>
      </c>
      <c r="B1494" s="120" t="s">
        <v>825</v>
      </c>
      <c r="C1494" s="120" t="s">
        <v>201</v>
      </c>
      <c r="D1494" s="9"/>
      <c r="E1494" s="9"/>
      <c r="F1494" s="130">
        <f t="shared" si="298"/>
        <v>0</v>
      </c>
      <c r="G1494" s="131">
        <f t="shared" si="299"/>
        <v>0</v>
      </c>
      <c r="I1494" s="110"/>
    </row>
    <row r="1495" spans="1:11" ht="16.350000000000001" customHeight="1">
      <c r="A1495" s="45">
        <v>4</v>
      </c>
      <c r="B1495" s="127" t="s">
        <v>826</v>
      </c>
      <c r="C1495" s="120" t="s">
        <v>13</v>
      </c>
      <c r="D1495" s="9"/>
      <c r="E1495" s="9"/>
      <c r="F1495" s="130">
        <f t="shared" si="298"/>
        <v>0</v>
      </c>
      <c r="G1495" s="131">
        <f t="shared" si="299"/>
        <v>0</v>
      </c>
      <c r="I1495" s="110"/>
    </row>
    <row r="1496" spans="1:11" ht="16.350000000000001" customHeight="1">
      <c r="A1496" s="45">
        <v>5</v>
      </c>
      <c r="B1496" s="120" t="s">
        <v>673</v>
      </c>
      <c r="C1496" s="120" t="s">
        <v>88</v>
      </c>
      <c r="D1496" s="9"/>
      <c r="E1496" s="9"/>
      <c r="F1496" s="130">
        <f t="shared" si="298"/>
        <v>0</v>
      </c>
      <c r="G1496" s="131">
        <f t="shared" si="299"/>
        <v>0</v>
      </c>
      <c r="I1496" s="110"/>
    </row>
    <row r="1497" spans="1:11" ht="16.350000000000001" customHeight="1">
      <c r="A1497" s="45">
        <v>6</v>
      </c>
      <c r="B1497" s="85"/>
      <c r="C1497" s="85"/>
      <c r="D1497" s="9"/>
      <c r="E1497" s="9"/>
      <c r="F1497" s="130">
        <f t="shared" si="298"/>
        <v>0</v>
      </c>
      <c r="G1497" s="131">
        <f t="shared" si="299"/>
        <v>0</v>
      </c>
      <c r="I1497" s="110"/>
    </row>
    <row r="1498" spans="1:11" ht="16.350000000000001" customHeight="1">
      <c r="A1498" s="47" t="s">
        <v>827</v>
      </c>
      <c r="B1498" s="5"/>
      <c r="C1498" s="4"/>
      <c r="G1498" s="48"/>
    </row>
    <row r="1499" spans="1:11" ht="16.350000000000001" customHeight="1">
      <c r="A1499" s="43" t="s">
        <v>0</v>
      </c>
      <c r="B1499" s="7" t="s">
        <v>1</v>
      </c>
      <c r="C1499" s="8" t="s">
        <v>4</v>
      </c>
      <c r="D1499" s="7" t="s">
        <v>2</v>
      </c>
      <c r="E1499" s="7" t="s">
        <v>6</v>
      </c>
      <c r="F1499" s="128" t="s">
        <v>7</v>
      </c>
      <c r="G1499" s="129" t="s">
        <v>8</v>
      </c>
      <c r="I1499" s="110"/>
    </row>
    <row r="1500" spans="1:11" ht="16.350000000000001" customHeight="1">
      <c r="A1500" s="45">
        <v>1</v>
      </c>
      <c r="B1500" s="127" t="s">
        <v>581</v>
      </c>
      <c r="C1500" s="120" t="s">
        <v>829</v>
      </c>
      <c r="D1500" s="9"/>
      <c r="E1500" s="9"/>
      <c r="F1500" s="130">
        <f>IF(E1500="",0,IF(E1500&gt;0,RANK(E1500,$E$1500:$E$1513,1)))</f>
        <v>0</v>
      </c>
      <c r="G1500" s="131">
        <f>VLOOKUP(F1500,$L$3:$M$33,2,0)</f>
        <v>0</v>
      </c>
      <c r="I1500" s="110"/>
    </row>
    <row r="1501" spans="1:11" ht="16.350000000000001" customHeight="1">
      <c r="A1501" s="45">
        <v>2</v>
      </c>
      <c r="B1501" s="126" t="s">
        <v>778</v>
      </c>
      <c r="C1501" s="120" t="s">
        <v>551</v>
      </c>
      <c r="D1501" s="9"/>
      <c r="E1501" s="9"/>
      <c r="F1501" s="130">
        <f t="shared" ref="F1501:F1505" si="300">IF(E1501="",0,IF(E1501&gt;0,RANK(E1501,$E$1500:$E$1513,1)))</f>
        <v>0</v>
      </c>
      <c r="G1501" s="131">
        <f t="shared" ref="G1501:G1505" si="301">VLOOKUP(F1501,$L$3:$M$33,2,0)</f>
        <v>0</v>
      </c>
      <c r="H1501" s="31">
        <v>700915</v>
      </c>
      <c r="I1501" s="111"/>
      <c r="J1501" s="101"/>
      <c r="K1501" s="101"/>
    </row>
    <row r="1502" spans="1:11" ht="16.350000000000001" customHeight="1">
      <c r="A1502" s="45">
        <v>3</v>
      </c>
      <c r="B1502" s="126" t="s">
        <v>830</v>
      </c>
      <c r="C1502" s="120" t="s">
        <v>551</v>
      </c>
      <c r="D1502" s="9"/>
      <c r="E1502" s="9"/>
      <c r="F1502" s="130">
        <f t="shared" si="300"/>
        <v>0</v>
      </c>
      <c r="G1502" s="131">
        <f t="shared" si="301"/>
        <v>0</v>
      </c>
      <c r="H1502" s="31">
        <v>701229</v>
      </c>
      <c r="I1502" s="111"/>
      <c r="J1502" s="101"/>
      <c r="K1502" s="101"/>
    </row>
    <row r="1503" spans="1:11" ht="16.350000000000001" customHeight="1">
      <c r="A1503" s="45">
        <v>4</v>
      </c>
      <c r="B1503" s="127" t="s">
        <v>482</v>
      </c>
      <c r="C1503" s="120" t="s">
        <v>13</v>
      </c>
      <c r="D1503" s="9"/>
      <c r="E1503" s="9"/>
      <c r="F1503" s="130">
        <f t="shared" si="300"/>
        <v>0</v>
      </c>
      <c r="G1503" s="131">
        <f t="shared" si="301"/>
        <v>0</v>
      </c>
      <c r="H1503" s="31">
        <v>720817</v>
      </c>
      <c r="I1503" s="111"/>
      <c r="J1503" s="101"/>
      <c r="K1503" s="101"/>
    </row>
    <row r="1504" spans="1:11" ht="16.350000000000001" customHeight="1">
      <c r="A1504" s="45">
        <v>5</v>
      </c>
      <c r="B1504" s="127" t="s">
        <v>483</v>
      </c>
      <c r="C1504" s="120" t="s">
        <v>13</v>
      </c>
      <c r="D1504" s="9"/>
      <c r="E1504" s="9"/>
      <c r="F1504" s="130">
        <f t="shared" si="300"/>
        <v>0</v>
      </c>
      <c r="G1504" s="131">
        <f t="shared" si="301"/>
        <v>0</v>
      </c>
      <c r="I1504" s="110"/>
    </row>
    <row r="1505" spans="1:11" ht="16.350000000000001" customHeight="1">
      <c r="A1505" s="45">
        <v>6</v>
      </c>
      <c r="B1505" s="85"/>
      <c r="C1505" s="85"/>
      <c r="D1505" s="9"/>
      <c r="E1505" s="9"/>
      <c r="F1505" s="130">
        <f t="shared" si="300"/>
        <v>0</v>
      </c>
      <c r="G1505" s="131">
        <f t="shared" si="301"/>
        <v>0</v>
      </c>
      <c r="I1505" s="110"/>
    </row>
    <row r="1506" spans="1:11" ht="16.350000000000001" customHeight="1">
      <c r="A1506" s="47" t="s">
        <v>828</v>
      </c>
      <c r="B1506" s="5"/>
      <c r="C1506" s="4"/>
      <c r="F1506" s="133"/>
      <c r="G1506" s="132"/>
      <c r="I1506" s="110"/>
    </row>
    <row r="1507" spans="1:11" ht="16.350000000000001" customHeight="1">
      <c r="A1507" s="43" t="s">
        <v>0</v>
      </c>
      <c r="B1507" s="7" t="s">
        <v>1</v>
      </c>
      <c r="C1507" s="8" t="s">
        <v>4</v>
      </c>
      <c r="D1507" s="7" t="s">
        <v>2</v>
      </c>
      <c r="E1507" s="7" t="s">
        <v>6</v>
      </c>
      <c r="F1507" s="128" t="s">
        <v>7</v>
      </c>
      <c r="G1507" s="129" t="s">
        <v>8</v>
      </c>
      <c r="I1507" s="110"/>
    </row>
    <row r="1508" spans="1:11" ht="16.350000000000001" customHeight="1">
      <c r="A1508" s="45">
        <v>1</v>
      </c>
      <c r="B1508" s="85"/>
      <c r="C1508" s="85"/>
      <c r="D1508" s="9"/>
      <c r="E1508" s="9"/>
      <c r="F1508" s="130">
        <f>IF(E1508="",0,IF(E1508&gt;0,RANK(E1508,$E$1500:$E$1513,1)))</f>
        <v>0</v>
      </c>
      <c r="G1508" s="131">
        <f>VLOOKUP(F1508,$L$3:$M$33,2,0)</f>
        <v>0</v>
      </c>
      <c r="I1508" s="110"/>
    </row>
    <row r="1509" spans="1:11" ht="16.350000000000001" customHeight="1">
      <c r="A1509" s="45">
        <v>2</v>
      </c>
      <c r="B1509" s="134" t="s">
        <v>777</v>
      </c>
      <c r="C1509" s="126" t="s">
        <v>831</v>
      </c>
      <c r="D1509" s="9"/>
      <c r="E1509" s="9"/>
      <c r="F1509" s="130">
        <f t="shared" ref="F1509:F1513" si="302">IF(E1509="",0,IF(E1509&gt;0,RANK(E1509,$E$1500:$E$1513,1)))</f>
        <v>0</v>
      </c>
      <c r="G1509" s="131">
        <f t="shared" ref="G1509:G1513" si="303">VLOOKUP(F1509,$L$3:$M$33,2,0)</f>
        <v>0</v>
      </c>
      <c r="I1509" s="110"/>
    </row>
    <row r="1510" spans="1:11" ht="16.350000000000001" customHeight="1">
      <c r="A1510" s="45">
        <v>3</v>
      </c>
      <c r="B1510" s="127" t="s">
        <v>669</v>
      </c>
      <c r="C1510" s="120" t="s">
        <v>15</v>
      </c>
      <c r="D1510" s="9"/>
      <c r="E1510" s="9"/>
      <c r="F1510" s="130">
        <f t="shared" si="302"/>
        <v>0</v>
      </c>
      <c r="G1510" s="131">
        <f t="shared" si="303"/>
        <v>0</v>
      </c>
      <c r="I1510" s="110"/>
    </row>
    <row r="1511" spans="1:11" ht="16.350000000000001" customHeight="1">
      <c r="A1511" s="45">
        <v>4</v>
      </c>
      <c r="B1511" s="127" t="s">
        <v>832</v>
      </c>
      <c r="C1511" s="120" t="s">
        <v>13</v>
      </c>
      <c r="D1511" s="9"/>
      <c r="E1511" s="9"/>
      <c r="F1511" s="130">
        <f t="shared" si="302"/>
        <v>0</v>
      </c>
      <c r="G1511" s="131">
        <f t="shared" si="303"/>
        <v>0</v>
      </c>
      <c r="H1511" s="31">
        <v>600520</v>
      </c>
      <c r="I1511" s="111"/>
      <c r="J1511" s="101"/>
      <c r="K1511" s="101"/>
    </row>
    <row r="1512" spans="1:11" ht="16.350000000000001" customHeight="1">
      <c r="A1512" s="45">
        <v>5</v>
      </c>
      <c r="B1512" s="158" t="s">
        <v>779</v>
      </c>
      <c r="C1512" s="120" t="s">
        <v>401</v>
      </c>
      <c r="D1512" s="9"/>
      <c r="E1512" s="9"/>
      <c r="F1512" s="130">
        <f t="shared" si="302"/>
        <v>0</v>
      </c>
      <c r="G1512" s="131">
        <f t="shared" si="303"/>
        <v>0</v>
      </c>
      <c r="I1512" s="110"/>
    </row>
    <row r="1513" spans="1:11" ht="16.350000000000001" customHeight="1">
      <c r="A1513" s="45">
        <v>6</v>
      </c>
      <c r="B1513" s="85"/>
      <c r="C1513" s="85"/>
      <c r="D1513" s="9"/>
      <c r="E1513" s="9"/>
      <c r="F1513" s="130">
        <f t="shared" si="302"/>
        <v>0</v>
      </c>
      <c r="G1513" s="131">
        <f t="shared" si="303"/>
        <v>0</v>
      </c>
      <c r="I1513" s="110"/>
    </row>
    <row r="1514" spans="1:11" s="61" customFormat="1" ht="16.350000000000001" customHeight="1">
      <c r="A1514" s="47" t="s">
        <v>833</v>
      </c>
      <c r="B1514" s="63"/>
      <c r="C1514" s="67"/>
      <c r="D1514" s="65"/>
      <c r="E1514" s="65"/>
      <c r="F1514" s="65"/>
      <c r="G1514" s="66"/>
      <c r="I1514" s="110"/>
    </row>
    <row r="1515" spans="1:11" ht="16.350000000000001" customHeight="1">
      <c r="A1515" s="43" t="s">
        <v>0</v>
      </c>
      <c r="B1515" s="7" t="s">
        <v>1</v>
      </c>
      <c r="C1515" s="8" t="s">
        <v>4</v>
      </c>
      <c r="D1515" s="7" t="s">
        <v>2</v>
      </c>
      <c r="E1515" s="7" t="s">
        <v>6</v>
      </c>
      <c r="F1515" s="7" t="s">
        <v>7</v>
      </c>
      <c r="G1515" s="44" t="s">
        <v>8</v>
      </c>
      <c r="I1515" s="110"/>
    </row>
    <row r="1516" spans="1:11" ht="16.350000000000001" customHeight="1">
      <c r="A1516" s="45">
        <v>1</v>
      </c>
      <c r="B1516" s="85"/>
      <c r="C1516" s="85"/>
      <c r="D1516" s="9"/>
      <c r="E1516" s="9"/>
      <c r="F1516" s="10">
        <f>IF(E1516="",0,IF(E1516&gt;0,RANK(E1516,$E$1516:$E$1521,1)))</f>
        <v>0</v>
      </c>
      <c r="G1516" s="46">
        <f>VLOOKUP(F1516,$L$3:$M$33,2,0)</f>
        <v>0</v>
      </c>
      <c r="I1516" s="110"/>
    </row>
    <row r="1517" spans="1:11" ht="16.350000000000001" customHeight="1">
      <c r="A1517" s="45">
        <v>2</v>
      </c>
      <c r="B1517" s="85"/>
      <c r="C1517" s="85"/>
      <c r="D1517" s="9"/>
      <c r="E1517" s="9"/>
      <c r="F1517" s="10">
        <f t="shared" ref="F1517:F1521" si="304">IF(E1517="",0,IF(E1517&gt;0,RANK(E1517,$E$1516:$E$1521,1)))</f>
        <v>0</v>
      </c>
      <c r="G1517" s="46">
        <f t="shared" ref="G1517:G1521" si="305">VLOOKUP(F1517,$L$3:$M$33,2,0)</f>
        <v>0</v>
      </c>
      <c r="I1517" s="110"/>
    </row>
    <row r="1518" spans="1:11" ht="16.350000000000001" customHeight="1">
      <c r="A1518" s="45">
        <v>3</v>
      </c>
      <c r="B1518" s="120" t="s">
        <v>788</v>
      </c>
      <c r="C1518" s="120" t="s">
        <v>807</v>
      </c>
      <c r="D1518" s="75"/>
      <c r="E1518" s="9"/>
      <c r="F1518" s="10">
        <f t="shared" si="304"/>
        <v>0</v>
      </c>
      <c r="G1518" s="46">
        <f t="shared" si="305"/>
        <v>0</v>
      </c>
      <c r="I1518" s="110"/>
    </row>
    <row r="1519" spans="1:11" ht="16.350000000000001" customHeight="1">
      <c r="A1519" s="45">
        <v>4</v>
      </c>
      <c r="B1519" s="120" t="s">
        <v>834</v>
      </c>
      <c r="C1519" s="120" t="s">
        <v>84</v>
      </c>
      <c r="D1519" s="25"/>
      <c r="E1519" s="9"/>
      <c r="F1519" s="10">
        <f t="shared" si="304"/>
        <v>0</v>
      </c>
      <c r="G1519" s="46">
        <f t="shared" si="305"/>
        <v>0</v>
      </c>
      <c r="H1519" s="31">
        <v>850428</v>
      </c>
      <c r="I1519" s="111"/>
      <c r="J1519" s="101"/>
      <c r="K1519" s="101"/>
    </row>
    <row r="1520" spans="1:11" ht="16.350000000000001" customHeight="1">
      <c r="A1520" s="45">
        <v>5</v>
      </c>
      <c r="B1520" s="85"/>
      <c r="C1520" s="85"/>
      <c r="D1520" s="9"/>
      <c r="E1520" s="9"/>
      <c r="F1520" s="10">
        <f t="shared" si="304"/>
        <v>0</v>
      </c>
      <c r="G1520" s="46">
        <f t="shared" si="305"/>
        <v>0</v>
      </c>
      <c r="I1520" s="110"/>
    </row>
    <row r="1521" spans="1:11" ht="16.350000000000001" customHeight="1">
      <c r="A1521" s="45">
        <v>6</v>
      </c>
      <c r="B1521" s="85"/>
      <c r="C1521" s="85"/>
      <c r="D1521" s="9"/>
      <c r="E1521" s="9"/>
      <c r="F1521" s="10">
        <f t="shared" si="304"/>
        <v>0</v>
      </c>
      <c r="G1521" s="46">
        <f t="shared" si="305"/>
        <v>0</v>
      </c>
      <c r="I1521" s="110"/>
    </row>
    <row r="1522" spans="1:11" s="61" customFormat="1" ht="16.350000000000001" customHeight="1">
      <c r="A1522" s="47" t="s">
        <v>835</v>
      </c>
      <c r="B1522" s="63"/>
      <c r="C1522" s="67"/>
      <c r="D1522" s="65"/>
      <c r="E1522" s="65"/>
      <c r="F1522" s="65"/>
      <c r="G1522" s="66"/>
      <c r="I1522" s="110"/>
    </row>
    <row r="1523" spans="1:11" ht="16.350000000000001" customHeight="1">
      <c r="A1523" s="43" t="s">
        <v>0</v>
      </c>
      <c r="B1523" s="7" t="s">
        <v>1</v>
      </c>
      <c r="C1523" s="8" t="s">
        <v>4</v>
      </c>
      <c r="D1523" s="7" t="s">
        <v>2</v>
      </c>
      <c r="E1523" s="7" t="s">
        <v>6</v>
      </c>
      <c r="F1523" s="7" t="s">
        <v>7</v>
      </c>
      <c r="G1523" s="44" t="s">
        <v>8</v>
      </c>
      <c r="I1523" s="110"/>
    </row>
    <row r="1524" spans="1:11" ht="16.350000000000001" customHeight="1">
      <c r="A1524" s="45">
        <v>1</v>
      </c>
      <c r="B1524" s="85"/>
      <c r="C1524" s="85"/>
      <c r="D1524" s="9"/>
      <c r="E1524" s="9"/>
      <c r="F1524" s="10">
        <f>IF(E1524="",0,IF(E1524&gt;0,RANK(E1524,$E$1524:$E$1529,1)))</f>
        <v>0</v>
      </c>
      <c r="G1524" s="46">
        <f>VLOOKUP(F1524,$L$3:$M$33,2,0)</f>
        <v>0</v>
      </c>
      <c r="I1524" s="110"/>
    </row>
    <row r="1525" spans="1:11" ht="16.350000000000001" customHeight="1">
      <c r="A1525" s="45">
        <v>2</v>
      </c>
      <c r="B1525" s="126" t="s">
        <v>691</v>
      </c>
      <c r="C1525" s="126" t="s">
        <v>836</v>
      </c>
      <c r="D1525" s="9"/>
      <c r="E1525" s="9"/>
      <c r="F1525" s="10">
        <f t="shared" ref="F1525:F1529" si="306">IF(E1525="",0,IF(E1525&gt;0,RANK(E1525,$E$1524:$E$1529,1)))</f>
        <v>0</v>
      </c>
      <c r="G1525" s="46">
        <f t="shared" ref="G1525:G1529" si="307">VLOOKUP(F1525,$L$3:$M$33,2,0)</f>
        <v>0</v>
      </c>
      <c r="I1525" s="110"/>
    </row>
    <row r="1526" spans="1:11" ht="16.350000000000001" customHeight="1">
      <c r="A1526" s="45">
        <v>3</v>
      </c>
      <c r="B1526" s="127" t="s">
        <v>613</v>
      </c>
      <c r="C1526" s="120" t="s">
        <v>269</v>
      </c>
      <c r="D1526" s="75"/>
      <c r="E1526" s="9"/>
      <c r="F1526" s="10">
        <f t="shared" si="306"/>
        <v>0</v>
      </c>
      <c r="G1526" s="46">
        <f t="shared" si="307"/>
        <v>0</v>
      </c>
      <c r="H1526" s="31">
        <v>701009</v>
      </c>
      <c r="I1526" s="111"/>
      <c r="J1526" s="101"/>
      <c r="K1526" s="101"/>
    </row>
    <row r="1527" spans="1:11" ht="16.350000000000001" customHeight="1">
      <c r="A1527" s="45">
        <v>4</v>
      </c>
      <c r="B1527" s="120" t="s">
        <v>396</v>
      </c>
      <c r="C1527" s="120" t="s">
        <v>84</v>
      </c>
      <c r="D1527" s="9"/>
      <c r="E1527" s="9"/>
      <c r="F1527" s="10">
        <f t="shared" si="306"/>
        <v>0</v>
      </c>
      <c r="G1527" s="46">
        <f t="shared" si="307"/>
        <v>0</v>
      </c>
      <c r="H1527" s="31">
        <v>750925</v>
      </c>
      <c r="I1527" s="111"/>
      <c r="J1527" s="101"/>
      <c r="K1527" s="101"/>
    </row>
    <row r="1528" spans="1:11" ht="16.350000000000001" customHeight="1">
      <c r="A1528" s="45">
        <v>5</v>
      </c>
      <c r="B1528" s="85"/>
      <c r="C1528" s="85"/>
      <c r="D1528" s="9"/>
      <c r="E1528" s="9"/>
      <c r="F1528" s="10">
        <f t="shared" si="306"/>
        <v>0</v>
      </c>
      <c r="G1528" s="46">
        <f t="shared" si="307"/>
        <v>0</v>
      </c>
      <c r="I1528" s="110"/>
    </row>
    <row r="1529" spans="1:11" ht="16.350000000000001" customHeight="1">
      <c r="A1529" s="45">
        <v>6</v>
      </c>
      <c r="B1529" s="85"/>
      <c r="C1529" s="85"/>
      <c r="D1529" s="9"/>
      <c r="E1529" s="9"/>
      <c r="F1529" s="10">
        <f t="shared" si="306"/>
        <v>0</v>
      </c>
      <c r="G1529" s="46">
        <f t="shared" si="307"/>
        <v>0</v>
      </c>
      <c r="I1529" s="110"/>
    </row>
    <row r="1530" spans="1:11" ht="16.350000000000001" customHeight="1">
      <c r="A1530" s="47" t="s">
        <v>837</v>
      </c>
      <c r="B1530" s="5"/>
      <c r="C1530" s="4"/>
      <c r="G1530" s="48"/>
      <c r="I1530" s="110"/>
    </row>
    <row r="1531" spans="1:11" ht="16.350000000000001" customHeight="1">
      <c r="A1531" s="43" t="s">
        <v>0</v>
      </c>
      <c r="B1531" s="7" t="s">
        <v>1</v>
      </c>
      <c r="C1531" s="8" t="s">
        <v>4</v>
      </c>
      <c r="D1531" s="7" t="s">
        <v>2</v>
      </c>
      <c r="E1531" s="7" t="s">
        <v>6</v>
      </c>
      <c r="F1531" s="128" t="s">
        <v>7</v>
      </c>
      <c r="G1531" s="129" t="s">
        <v>8</v>
      </c>
      <c r="I1531" s="110"/>
    </row>
    <row r="1532" spans="1:11" ht="16.350000000000001" customHeight="1">
      <c r="A1532" s="45">
        <v>1</v>
      </c>
      <c r="B1532" s="134" t="s">
        <v>838</v>
      </c>
      <c r="C1532" s="126" t="s">
        <v>839</v>
      </c>
      <c r="D1532" s="9"/>
      <c r="E1532" s="9"/>
      <c r="F1532" s="130">
        <f>IF(E1532="",0,IF(E1532&gt;0,RANK(E1532,$E$1532:$E$1553,1)))</f>
        <v>0</v>
      </c>
      <c r="G1532" s="131">
        <f>VLOOKUP(F1532,$L$3:$M$33,2,0)</f>
        <v>0</v>
      </c>
      <c r="I1532" s="110"/>
    </row>
    <row r="1533" spans="1:11" ht="16.350000000000001" customHeight="1">
      <c r="A1533" s="45">
        <v>2</v>
      </c>
      <c r="B1533" s="120" t="s">
        <v>840</v>
      </c>
      <c r="C1533" s="120" t="s">
        <v>64</v>
      </c>
      <c r="D1533" s="9"/>
      <c r="E1533" s="9"/>
      <c r="F1533" s="130">
        <f t="shared" ref="F1533:F1537" si="308">IF(E1533="",0,IF(E1533&gt;0,RANK(E1533,$E$1532:$E$1553,1)))</f>
        <v>0</v>
      </c>
      <c r="G1533" s="131">
        <f t="shared" ref="G1533:G1537" si="309">VLOOKUP(F1533,$L$3:$M$33,2,0)</f>
        <v>0</v>
      </c>
      <c r="I1533" s="110"/>
    </row>
    <row r="1534" spans="1:11" ht="16.350000000000001" customHeight="1">
      <c r="A1534" s="45">
        <v>3</v>
      </c>
      <c r="B1534" s="120" t="s">
        <v>505</v>
      </c>
      <c r="C1534" s="120" t="s">
        <v>53</v>
      </c>
      <c r="D1534" s="9"/>
      <c r="E1534" s="9"/>
      <c r="F1534" s="130">
        <f t="shared" si="308"/>
        <v>0</v>
      </c>
      <c r="G1534" s="131">
        <f t="shared" si="309"/>
        <v>0</v>
      </c>
      <c r="I1534" s="110"/>
    </row>
    <row r="1535" spans="1:11" ht="16.350000000000001" customHeight="1">
      <c r="A1535" s="45">
        <v>4</v>
      </c>
      <c r="B1535" s="120" t="s">
        <v>506</v>
      </c>
      <c r="C1535" s="120" t="s">
        <v>405</v>
      </c>
      <c r="D1535" s="75"/>
      <c r="E1535" s="9"/>
      <c r="F1535" s="130">
        <f t="shared" si="308"/>
        <v>0</v>
      </c>
      <c r="G1535" s="131">
        <f t="shared" si="309"/>
        <v>0</v>
      </c>
      <c r="H1535" s="31">
        <v>830926</v>
      </c>
      <c r="I1535" s="111"/>
      <c r="J1535" s="101"/>
      <c r="K1535" s="101"/>
    </row>
    <row r="1536" spans="1:11" ht="16.350000000000001" customHeight="1">
      <c r="A1536" s="45">
        <v>5</v>
      </c>
      <c r="B1536" s="120" t="s">
        <v>404</v>
      </c>
      <c r="C1536" s="120" t="s">
        <v>405</v>
      </c>
      <c r="D1536" s="9"/>
      <c r="E1536" s="9"/>
      <c r="F1536" s="130">
        <f t="shared" si="308"/>
        <v>0</v>
      </c>
      <c r="G1536" s="131">
        <f t="shared" si="309"/>
        <v>0</v>
      </c>
      <c r="I1536" s="110"/>
    </row>
    <row r="1537" spans="1:11" ht="16.350000000000001" customHeight="1">
      <c r="A1537" s="45">
        <v>6</v>
      </c>
      <c r="B1537" s="85"/>
      <c r="C1537" s="85"/>
      <c r="D1537" s="9"/>
      <c r="E1537" s="9"/>
      <c r="F1537" s="130">
        <f t="shared" si="308"/>
        <v>0</v>
      </c>
      <c r="G1537" s="131">
        <f t="shared" si="309"/>
        <v>0</v>
      </c>
      <c r="I1537" s="110"/>
    </row>
    <row r="1538" spans="1:11" ht="16.350000000000001" customHeight="1">
      <c r="A1538" s="47" t="s">
        <v>841</v>
      </c>
      <c r="B1538" s="5"/>
      <c r="C1538" s="4"/>
      <c r="F1538" s="133"/>
      <c r="G1538" s="132"/>
      <c r="I1538" s="110"/>
    </row>
    <row r="1539" spans="1:11" ht="16.350000000000001" customHeight="1">
      <c r="A1539" s="43" t="s">
        <v>0</v>
      </c>
      <c r="B1539" s="7" t="s">
        <v>1</v>
      </c>
      <c r="C1539" s="8" t="s">
        <v>4</v>
      </c>
      <c r="D1539" s="7" t="s">
        <v>2</v>
      </c>
      <c r="E1539" s="7" t="s">
        <v>6</v>
      </c>
      <c r="F1539" s="128" t="s">
        <v>7</v>
      </c>
      <c r="G1539" s="129" t="s">
        <v>8</v>
      </c>
      <c r="I1539" s="110"/>
    </row>
    <row r="1540" spans="1:11" ht="16.350000000000001" customHeight="1">
      <c r="A1540" s="45">
        <v>1</v>
      </c>
      <c r="B1540" s="85"/>
      <c r="C1540" s="85"/>
      <c r="D1540" s="9"/>
      <c r="E1540" s="9"/>
      <c r="F1540" s="130">
        <f>IF(E1540="",0,IF(E1540&gt;0,RANK(E1540,$E$1532:$E$1553,1)))</f>
        <v>0</v>
      </c>
      <c r="G1540" s="131">
        <f>VLOOKUP(F1540,$L$3:$M$33,2,0)</f>
        <v>0</v>
      </c>
      <c r="I1540" s="110"/>
    </row>
    <row r="1541" spans="1:11" ht="16.350000000000001" customHeight="1">
      <c r="A1541" s="45">
        <v>2</v>
      </c>
      <c r="B1541" s="127" t="s">
        <v>843</v>
      </c>
      <c r="C1541" s="120" t="s">
        <v>14</v>
      </c>
      <c r="D1541" s="9"/>
      <c r="E1541" s="9"/>
      <c r="F1541" s="130">
        <f t="shared" ref="F1541:F1545" si="310">IF(E1541="",0,IF(E1541&gt;0,RANK(E1541,$E$1532:$E$1553,1)))</f>
        <v>0</v>
      </c>
      <c r="G1541" s="131">
        <f t="shared" ref="G1541:G1545" si="311">VLOOKUP(F1541,$L$3:$M$33,2,0)</f>
        <v>0</v>
      </c>
      <c r="H1541" s="31">
        <v>791024</v>
      </c>
      <c r="I1541" s="111"/>
      <c r="J1541" s="101"/>
      <c r="K1541" s="101"/>
    </row>
    <row r="1542" spans="1:11" ht="16.350000000000001" customHeight="1">
      <c r="A1542" s="45">
        <v>3</v>
      </c>
      <c r="B1542" s="120" t="s">
        <v>844</v>
      </c>
      <c r="C1542" s="120" t="s">
        <v>14</v>
      </c>
      <c r="D1542" s="9"/>
      <c r="E1542" s="9"/>
      <c r="F1542" s="130">
        <f t="shared" si="310"/>
        <v>0</v>
      </c>
      <c r="G1542" s="131">
        <f t="shared" si="311"/>
        <v>0</v>
      </c>
      <c r="H1542" s="31">
        <v>800728</v>
      </c>
      <c r="I1542" s="111"/>
      <c r="J1542" s="101"/>
      <c r="K1542" s="101"/>
    </row>
    <row r="1543" spans="1:11" ht="16.350000000000001" customHeight="1">
      <c r="A1543" s="45">
        <v>4</v>
      </c>
      <c r="B1543" s="120" t="s">
        <v>507</v>
      </c>
      <c r="C1543" s="120" t="s">
        <v>465</v>
      </c>
      <c r="D1543" s="9"/>
      <c r="E1543" s="9"/>
      <c r="F1543" s="130">
        <f t="shared" si="310"/>
        <v>0</v>
      </c>
      <c r="G1543" s="131">
        <f t="shared" si="311"/>
        <v>0</v>
      </c>
      <c r="H1543" s="31">
        <v>760209</v>
      </c>
      <c r="I1543" s="111"/>
      <c r="J1543" s="101"/>
      <c r="K1543" s="101"/>
    </row>
    <row r="1544" spans="1:11" ht="16.350000000000001" customHeight="1">
      <c r="A1544" s="45">
        <v>5</v>
      </c>
      <c r="B1544" s="120" t="s">
        <v>508</v>
      </c>
      <c r="C1544" s="120" t="s">
        <v>84</v>
      </c>
      <c r="D1544" s="9"/>
      <c r="E1544" s="9"/>
      <c r="F1544" s="130">
        <f t="shared" si="310"/>
        <v>0</v>
      </c>
      <c r="G1544" s="131">
        <f t="shared" si="311"/>
        <v>0</v>
      </c>
      <c r="H1544" s="31">
        <v>790130</v>
      </c>
      <c r="I1544" s="111"/>
      <c r="J1544" s="101"/>
      <c r="K1544" s="101"/>
    </row>
    <row r="1545" spans="1:11" ht="16.350000000000001" customHeight="1">
      <c r="A1545" s="45">
        <v>6</v>
      </c>
      <c r="B1545" s="85"/>
      <c r="C1545" s="85"/>
      <c r="D1545" s="9"/>
      <c r="E1545" s="9"/>
      <c r="F1545" s="130">
        <f t="shared" si="310"/>
        <v>0</v>
      </c>
      <c r="G1545" s="131">
        <f t="shared" si="311"/>
        <v>0</v>
      </c>
      <c r="I1545" s="110"/>
    </row>
    <row r="1546" spans="1:11" ht="16.350000000000001" customHeight="1">
      <c r="A1546" s="47" t="s">
        <v>842</v>
      </c>
      <c r="B1546" s="5"/>
      <c r="C1546" s="19"/>
      <c r="F1546" s="133"/>
      <c r="G1546" s="132"/>
    </row>
    <row r="1547" spans="1:11" ht="16.350000000000001" customHeight="1">
      <c r="A1547" s="43" t="s">
        <v>0</v>
      </c>
      <c r="B1547" s="7" t="s">
        <v>1</v>
      </c>
      <c r="C1547" s="8" t="s">
        <v>4</v>
      </c>
      <c r="D1547" s="7" t="s">
        <v>2</v>
      </c>
      <c r="E1547" s="7" t="s">
        <v>6</v>
      </c>
      <c r="F1547" s="128" t="s">
        <v>7</v>
      </c>
      <c r="G1547" s="129" t="s">
        <v>8</v>
      </c>
      <c r="I1547" s="110"/>
    </row>
    <row r="1548" spans="1:11" ht="16.350000000000001" customHeight="1">
      <c r="A1548" s="45">
        <v>1</v>
      </c>
      <c r="B1548" s="85"/>
      <c r="C1548" s="85"/>
      <c r="D1548" s="9"/>
      <c r="E1548" s="9"/>
      <c r="F1548" s="130">
        <f>IF(E1548="",0,IF(E1548&gt;0,RANK(E1548,$E$1532:$E$1553,1)))</f>
        <v>0</v>
      </c>
      <c r="G1548" s="131">
        <f>VLOOKUP(F1548,$L$3:$M$33,2,0)</f>
        <v>0</v>
      </c>
      <c r="I1548" s="110"/>
    </row>
    <row r="1549" spans="1:11" ht="16.350000000000001" customHeight="1">
      <c r="A1549" s="45">
        <v>2</v>
      </c>
      <c r="B1549" s="127" t="s">
        <v>797</v>
      </c>
      <c r="C1549" s="120" t="s">
        <v>84</v>
      </c>
      <c r="D1549" s="9"/>
      <c r="E1549" s="9"/>
      <c r="F1549" s="130">
        <f t="shared" ref="F1549:F1553" si="312">IF(E1549="",0,IF(E1549&gt;0,RANK(E1549,$E$1532:$E$1553,1)))</f>
        <v>0</v>
      </c>
      <c r="G1549" s="131">
        <f t="shared" ref="G1549:G1553" si="313">VLOOKUP(F1549,$L$3:$M$33,2,0)</f>
        <v>0</v>
      </c>
      <c r="I1549" s="110"/>
    </row>
    <row r="1550" spans="1:11" ht="16.350000000000001" customHeight="1">
      <c r="A1550" s="45">
        <v>3</v>
      </c>
      <c r="B1550" s="126" t="s">
        <v>421</v>
      </c>
      <c r="C1550" s="120" t="s">
        <v>845</v>
      </c>
      <c r="D1550" s="9"/>
      <c r="E1550" s="9"/>
      <c r="F1550" s="130">
        <f t="shared" si="312"/>
        <v>0</v>
      </c>
      <c r="G1550" s="131">
        <f t="shared" si="313"/>
        <v>0</v>
      </c>
      <c r="H1550" s="31">
        <v>900330</v>
      </c>
      <c r="I1550" s="111"/>
      <c r="J1550" s="101"/>
      <c r="K1550" s="101"/>
    </row>
    <row r="1551" spans="1:11" ht="16.350000000000001" customHeight="1">
      <c r="A1551" s="45">
        <v>4</v>
      </c>
      <c r="B1551" s="120" t="s">
        <v>846</v>
      </c>
      <c r="C1551" s="120" t="s">
        <v>13</v>
      </c>
      <c r="D1551" s="9"/>
      <c r="E1551" s="9"/>
      <c r="F1551" s="130">
        <f t="shared" si="312"/>
        <v>0</v>
      </c>
      <c r="G1551" s="131">
        <f t="shared" si="313"/>
        <v>0</v>
      </c>
      <c r="H1551" s="31">
        <v>941223</v>
      </c>
      <c r="I1551" s="111"/>
      <c r="J1551" s="101"/>
      <c r="K1551" s="101"/>
    </row>
    <row r="1552" spans="1:11" ht="16.350000000000001" customHeight="1">
      <c r="A1552" s="45">
        <v>5</v>
      </c>
      <c r="B1552" s="120" t="s">
        <v>624</v>
      </c>
      <c r="C1552" s="120" t="s">
        <v>88</v>
      </c>
      <c r="D1552" s="9"/>
      <c r="E1552" s="9"/>
      <c r="F1552" s="130">
        <f t="shared" si="312"/>
        <v>0</v>
      </c>
      <c r="G1552" s="131">
        <f t="shared" si="313"/>
        <v>0</v>
      </c>
      <c r="I1552" s="110"/>
    </row>
    <row r="1553" spans="1:11" s="35" customFormat="1" ht="16.350000000000001" customHeight="1">
      <c r="A1553" s="45">
        <v>6</v>
      </c>
      <c r="B1553" s="85"/>
      <c r="C1553" s="85"/>
      <c r="D1553" s="34"/>
      <c r="E1553" s="9"/>
      <c r="F1553" s="130">
        <f t="shared" si="312"/>
        <v>0</v>
      </c>
      <c r="G1553" s="131">
        <f t="shared" si="313"/>
        <v>0</v>
      </c>
      <c r="I1553" s="110"/>
    </row>
    <row r="1554" spans="1:11" s="35" customFormat="1" ht="16.350000000000001" customHeight="1">
      <c r="A1554" s="47" t="s">
        <v>847</v>
      </c>
      <c r="B1554" s="5"/>
      <c r="C1554" s="19"/>
      <c r="D1554" s="38"/>
      <c r="E1554" s="38"/>
      <c r="F1554" s="38"/>
      <c r="G1554" s="49"/>
      <c r="I1554" s="110"/>
    </row>
    <row r="1555" spans="1:11" ht="16.350000000000001" customHeight="1">
      <c r="A1555" s="43" t="s">
        <v>0</v>
      </c>
      <c r="B1555" s="7" t="s">
        <v>1</v>
      </c>
      <c r="C1555" s="8" t="s">
        <v>4</v>
      </c>
      <c r="D1555" s="7" t="s">
        <v>2</v>
      </c>
      <c r="E1555" s="7" t="s">
        <v>6</v>
      </c>
      <c r="F1555" s="7" t="s">
        <v>7</v>
      </c>
      <c r="G1555" s="44" t="s">
        <v>8</v>
      </c>
      <c r="I1555" s="110"/>
    </row>
    <row r="1556" spans="1:11" ht="16.350000000000001" customHeight="1">
      <c r="A1556" s="45">
        <v>1</v>
      </c>
      <c r="B1556" s="120" t="s">
        <v>712</v>
      </c>
      <c r="C1556" s="120" t="s">
        <v>60</v>
      </c>
      <c r="D1556" s="9"/>
      <c r="E1556" s="9"/>
      <c r="F1556" s="10">
        <f>IF(E1556="",0,IF(E1556&gt;0,RANK(E1556,$E$1556:$E$1561,1)))</f>
        <v>0</v>
      </c>
      <c r="G1556" s="46">
        <f>VLOOKUP(F1556,$L$3:$M$33,2,0)</f>
        <v>0</v>
      </c>
      <c r="I1556" s="110"/>
    </row>
    <row r="1557" spans="1:11" ht="16.350000000000001" customHeight="1">
      <c r="A1557" s="45">
        <v>2</v>
      </c>
      <c r="B1557" s="120" t="s">
        <v>516</v>
      </c>
      <c r="C1557" s="120" t="s">
        <v>14</v>
      </c>
      <c r="D1557" s="9"/>
      <c r="E1557" s="9"/>
      <c r="F1557" s="10">
        <f t="shared" ref="F1557:F1561" si="314">IF(E1557="",0,IF(E1557&gt;0,RANK(E1557,$E$1556:$E$1561,1)))</f>
        <v>0</v>
      </c>
      <c r="G1557" s="46">
        <f t="shared" ref="G1557:G1561" si="315">VLOOKUP(F1557,$L$3:$M$33,2,0)</f>
        <v>0</v>
      </c>
      <c r="I1557" s="110"/>
    </row>
    <row r="1558" spans="1:11" ht="16.350000000000001" customHeight="1">
      <c r="A1558" s="45">
        <v>3</v>
      </c>
      <c r="B1558" s="120" t="s">
        <v>517</v>
      </c>
      <c r="C1558" s="120" t="s">
        <v>84</v>
      </c>
      <c r="D1558" s="9"/>
      <c r="E1558" s="9"/>
      <c r="F1558" s="10">
        <f t="shared" si="314"/>
        <v>0</v>
      </c>
      <c r="G1558" s="46">
        <f t="shared" si="315"/>
        <v>0</v>
      </c>
      <c r="H1558" s="31">
        <v>870206</v>
      </c>
      <c r="I1558" s="111"/>
      <c r="J1558" s="101"/>
      <c r="K1558" s="101"/>
    </row>
    <row r="1559" spans="1:11" ht="16.350000000000001" customHeight="1">
      <c r="A1559" s="45">
        <v>4</v>
      </c>
      <c r="B1559" s="120" t="s">
        <v>848</v>
      </c>
      <c r="C1559" s="120" t="s">
        <v>13</v>
      </c>
      <c r="D1559" s="9"/>
      <c r="E1559" s="9"/>
      <c r="F1559" s="10">
        <f t="shared" si="314"/>
        <v>0</v>
      </c>
      <c r="G1559" s="46">
        <f t="shared" si="315"/>
        <v>0</v>
      </c>
      <c r="H1559" s="31">
        <v>870430</v>
      </c>
      <c r="I1559" s="111"/>
      <c r="J1559" s="101"/>
      <c r="K1559" s="101"/>
    </row>
    <row r="1560" spans="1:11" ht="16.350000000000001" customHeight="1">
      <c r="A1560" s="45">
        <v>5</v>
      </c>
      <c r="B1560" s="120" t="s">
        <v>518</v>
      </c>
      <c r="C1560" s="120" t="s">
        <v>13</v>
      </c>
      <c r="D1560" s="9"/>
      <c r="E1560" s="9"/>
      <c r="F1560" s="10">
        <f t="shared" si="314"/>
        <v>0</v>
      </c>
      <c r="G1560" s="46">
        <f t="shared" si="315"/>
        <v>0</v>
      </c>
      <c r="I1560" s="110"/>
    </row>
    <row r="1561" spans="1:11" ht="16.350000000000001" customHeight="1">
      <c r="A1561" s="45">
        <v>6</v>
      </c>
      <c r="B1561" s="85"/>
      <c r="C1561" s="85"/>
      <c r="D1561" s="9"/>
      <c r="E1561" s="9"/>
      <c r="F1561" s="10">
        <f t="shared" si="314"/>
        <v>0</v>
      </c>
      <c r="G1561" s="46">
        <f t="shared" si="315"/>
        <v>0</v>
      </c>
      <c r="I1561" s="110"/>
    </row>
    <row r="1562" spans="1:11" ht="16.350000000000001" customHeight="1">
      <c r="A1562" s="47" t="s">
        <v>849</v>
      </c>
      <c r="B1562" s="5"/>
      <c r="C1562" s="19"/>
      <c r="G1562" s="48"/>
      <c r="I1562" s="110"/>
    </row>
    <row r="1563" spans="1:11" ht="16.350000000000001" customHeight="1">
      <c r="A1563" s="43" t="s">
        <v>0</v>
      </c>
      <c r="B1563" s="7" t="s">
        <v>1</v>
      </c>
      <c r="C1563" s="8" t="s">
        <v>4</v>
      </c>
      <c r="D1563" s="7" t="s">
        <v>2</v>
      </c>
      <c r="E1563" s="7" t="s">
        <v>6</v>
      </c>
      <c r="F1563" s="128" t="s">
        <v>7</v>
      </c>
      <c r="G1563" s="129" t="s">
        <v>8</v>
      </c>
      <c r="I1563" s="110"/>
    </row>
    <row r="1564" spans="1:11" ht="16.350000000000001" customHeight="1">
      <c r="A1564" s="45">
        <v>1</v>
      </c>
      <c r="B1564" s="126" t="s">
        <v>718</v>
      </c>
      <c r="C1564" s="126" t="s">
        <v>850</v>
      </c>
      <c r="D1564" s="85"/>
      <c r="E1564" s="9"/>
      <c r="F1564" s="130">
        <f>IF(E1564="",0,IF(E1564&gt;0,RANK(E1564,$E$1564:$E$1585,1)))</f>
        <v>0</v>
      </c>
      <c r="G1564" s="131">
        <f>VLOOKUP(F1564,$L$3:$M$33,2,0)</f>
        <v>0</v>
      </c>
      <c r="I1564" s="110"/>
    </row>
    <row r="1565" spans="1:11" ht="16.350000000000001" customHeight="1">
      <c r="A1565" s="45">
        <v>2</v>
      </c>
      <c r="B1565" s="120" t="s">
        <v>527</v>
      </c>
      <c r="C1565" s="120" t="s">
        <v>64</v>
      </c>
      <c r="D1565" s="1"/>
      <c r="E1565" s="9"/>
      <c r="F1565" s="130">
        <f t="shared" ref="F1565:F1569" si="316">IF(E1565="",0,IF(E1565&gt;0,RANK(E1565,$E$1564:$E$1585,1)))</f>
        <v>0</v>
      </c>
      <c r="G1565" s="131">
        <f t="shared" ref="G1565:G1569" si="317">VLOOKUP(F1565,$L$3:$M$33,2,0)</f>
        <v>0</v>
      </c>
      <c r="H1565" s="31">
        <v>810915</v>
      </c>
      <c r="I1565" s="111"/>
      <c r="J1565" s="101"/>
      <c r="K1565" s="101"/>
    </row>
    <row r="1566" spans="1:11" ht="16.350000000000001" customHeight="1">
      <c r="A1566" s="45">
        <v>3</v>
      </c>
      <c r="B1566" s="120" t="s">
        <v>432</v>
      </c>
      <c r="C1566" s="120" t="s">
        <v>53</v>
      </c>
      <c r="D1566" s="9"/>
      <c r="E1566" s="9"/>
      <c r="F1566" s="130">
        <f t="shared" si="316"/>
        <v>0</v>
      </c>
      <c r="G1566" s="131">
        <f t="shared" si="317"/>
        <v>0</v>
      </c>
      <c r="H1566" s="31">
        <v>770315</v>
      </c>
      <c r="I1566" s="111"/>
      <c r="J1566" s="101"/>
      <c r="K1566" s="101"/>
    </row>
    <row r="1567" spans="1:11" ht="16.350000000000001" customHeight="1">
      <c r="A1567" s="45">
        <v>4</v>
      </c>
      <c r="B1567" s="120" t="s">
        <v>719</v>
      </c>
      <c r="C1567" s="120" t="s">
        <v>53</v>
      </c>
      <c r="D1567" s="9"/>
      <c r="E1567" s="9"/>
      <c r="F1567" s="130">
        <f t="shared" si="316"/>
        <v>0</v>
      </c>
      <c r="G1567" s="131">
        <f t="shared" si="317"/>
        <v>0</v>
      </c>
      <c r="H1567" s="31">
        <v>821122</v>
      </c>
      <c r="I1567" s="111"/>
      <c r="J1567" s="101"/>
      <c r="K1567" s="101"/>
    </row>
    <row r="1568" spans="1:11" ht="16.350000000000001" customHeight="1">
      <c r="A1568" s="45">
        <v>5</v>
      </c>
      <c r="B1568" s="120" t="s">
        <v>528</v>
      </c>
      <c r="C1568" s="120" t="s">
        <v>14</v>
      </c>
      <c r="D1568" s="9"/>
      <c r="E1568" s="9"/>
      <c r="F1568" s="130">
        <f t="shared" si="316"/>
        <v>0</v>
      </c>
      <c r="G1568" s="131">
        <f t="shared" si="317"/>
        <v>0</v>
      </c>
      <c r="H1568" s="31">
        <v>820501</v>
      </c>
      <c r="I1568" s="111"/>
      <c r="J1568" s="101"/>
      <c r="K1568" s="101"/>
    </row>
    <row r="1569" spans="1:11" ht="16.350000000000001" customHeight="1">
      <c r="A1569" s="45">
        <v>6</v>
      </c>
      <c r="B1569" s="120" t="s">
        <v>720</v>
      </c>
      <c r="C1569" s="120" t="s">
        <v>14</v>
      </c>
      <c r="D1569" s="9"/>
      <c r="E1569" s="9"/>
      <c r="F1569" s="130">
        <f t="shared" si="316"/>
        <v>0</v>
      </c>
      <c r="G1569" s="131">
        <f t="shared" si="317"/>
        <v>0</v>
      </c>
      <c r="I1569" s="110"/>
    </row>
    <row r="1570" spans="1:11" s="61" customFormat="1" ht="16.350000000000001" customHeight="1">
      <c r="A1570" s="47" t="s">
        <v>851</v>
      </c>
      <c r="B1570" s="63"/>
      <c r="C1570" s="64"/>
      <c r="D1570" s="65"/>
      <c r="E1570" s="65"/>
      <c r="F1570" s="133"/>
      <c r="G1570" s="132"/>
      <c r="I1570" s="110"/>
    </row>
    <row r="1571" spans="1:11" ht="16.350000000000001" customHeight="1">
      <c r="A1571" s="43" t="s">
        <v>0</v>
      </c>
      <c r="B1571" s="7" t="s">
        <v>1</v>
      </c>
      <c r="C1571" s="8" t="s">
        <v>4</v>
      </c>
      <c r="D1571" s="7" t="s">
        <v>2</v>
      </c>
      <c r="E1571" s="7" t="s">
        <v>6</v>
      </c>
      <c r="F1571" s="128" t="s">
        <v>7</v>
      </c>
      <c r="G1571" s="129" t="s">
        <v>8</v>
      </c>
      <c r="I1571" s="110"/>
    </row>
    <row r="1572" spans="1:11" ht="16.350000000000001" customHeight="1">
      <c r="A1572" s="45">
        <v>1</v>
      </c>
      <c r="B1572" s="120" t="s">
        <v>853</v>
      </c>
      <c r="C1572" s="120" t="s">
        <v>807</v>
      </c>
      <c r="D1572" s="9"/>
      <c r="E1572" s="9"/>
      <c r="F1572" s="130">
        <f>IF(E1572="",0,IF(E1572&gt;0,RANK(E1572,$E$1564:$E$1585,1)))</f>
        <v>0</v>
      </c>
      <c r="G1572" s="131">
        <f>VLOOKUP(F1572,$L$3:$M$33,2,0)</f>
        <v>0</v>
      </c>
      <c r="I1572" s="110"/>
    </row>
    <row r="1573" spans="1:11" ht="16.350000000000001" customHeight="1">
      <c r="A1573" s="45">
        <v>2</v>
      </c>
      <c r="B1573" s="120" t="s">
        <v>529</v>
      </c>
      <c r="C1573" s="120" t="s">
        <v>201</v>
      </c>
      <c r="D1573" s="9"/>
      <c r="E1573" s="9"/>
      <c r="F1573" s="130">
        <f t="shared" ref="F1573:F1577" si="318">IF(E1573="",0,IF(E1573&gt;0,RANK(E1573,$E$1564:$E$1585,1)))</f>
        <v>0</v>
      </c>
      <c r="G1573" s="131">
        <f t="shared" ref="G1573:G1577" si="319">VLOOKUP(F1573,$L$3:$M$33,2,0)</f>
        <v>0</v>
      </c>
      <c r="I1573" s="110"/>
    </row>
    <row r="1574" spans="1:11" ht="16.350000000000001" customHeight="1">
      <c r="A1574" s="45">
        <v>3</v>
      </c>
      <c r="B1574" s="120" t="s">
        <v>527</v>
      </c>
      <c r="C1574" s="120" t="s">
        <v>84</v>
      </c>
      <c r="D1574" s="9"/>
      <c r="E1574" s="9"/>
      <c r="F1574" s="130">
        <f t="shared" si="318"/>
        <v>0</v>
      </c>
      <c r="G1574" s="131">
        <f t="shared" si="319"/>
        <v>0</v>
      </c>
      <c r="H1574" s="31">
        <v>731219</v>
      </c>
      <c r="I1574" s="111"/>
      <c r="J1574" s="101"/>
      <c r="K1574" s="101"/>
    </row>
    <row r="1575" spans="1:11" ht="16.350000000000001" customHeight="1">
      <c r="A1575" s="45">
        <v>4</v>
      </c>
      <c r="B1575" s="120" t="s">
        <v>639</v>
      </c>
      <c r="C1575" s="120" t="s">
        <v>13</v>
      </c>
      <c r="D1575" s="85"/>
      <c r="E1575" s="9"/>
      <c r="F1575" s="130">
        <f t="shared" si="318"/>
        <v>0</v>
      </c>
      <c r="G1575" s="131">
        <f t="shared" si="319"/>
        <v>0</v>
      </c>
      <c r="H1575" s="31">
        <v>720227</v>
      </c>
      <c r="I1575" s="111"/>
      <c r="J1575" s="101"/>
      <c r="K1575" s="101"/>
    </row>
    <row r="1576" spans="1:11" ht="16.350000000000001" customHeight="1">
      <c r="A1576" s="45">
        <v>5</v>
      </c>
      <c r="B1576" s="120" t="s">
        <v>530</v>
      </c>
      <c r="C1576" s="120" t="s">
        <v>13</v>
      </c>
      <c r="D1576" s="85"/>
      <c r="E1576" s="9"/>
      <c r="F1576" s="130">
        <f t="shared" si="318"/>
        <v>0</v>
      </c>
      <c r="G1576" s="131">
        <f t="shared" si="319"/>
        <v>0</v>
      </c>
      <c r="I1576" s="110"/>
    </row>
    <row r="1577" spans="1:11" s="35" customFormat="1" ht="16.350000000000001" customHeight="1">
      <c r="A1577" s="45">
        <v>6</v>
      </c>
      <c r="B1577" s="120" t="s">
        <v>854</v>
      </c>
      <c r="C1577" s="120" t="s">
        <v>13</v>
      </c>
      <c r="D1577" s="34"/>
      <c r="E1577" s="9"/>
      <c r="F1577" s="130">
        <f t="shared" si="318"/>
        <v>0</v>
      </c>
      <c r="G1577" s="131">
        <f t="shared" si="319"/>
        <v>0</v>
      </c>
      <c r="I1577" s="110"/>
    </row>
    <row r="1578" spans="1:11" s="61" customFormat="1" ht="16.350000000000001" customHeight="1">
      <c r="A1578" s="47" t="s">
        <v>852</v>
      </c>
      <c r="B1578" s="63"/>
      <c r="C1578" s="64"/>
      <c r="D1578" s="65"/>
      <c r="E1578" s="65"/>
      <c r="F1578" s="133"/>
      <c r="G1578" s="132"/>
      <c r="I1578" s="110"/>
    </row>
    <row r="1579" spans="1:11" ht="16.350000000000001" customHeight="1">
      <c r="A1579" s="43" t="s">
        <v>0</v>
      </c>
      <c r="B1579" s="7" t="s">
        <v>1</v>
      </c>
      <c r="C1579" s="8" t="s">
        <v>4</v>
      </c>
      <c r="D1579" s="7" t="s">
        <v>2</v>
      </c>
      <c r="E1579" s="7" t="s">
        <v>6</v>
      </c>
      <c r="F1579" s="128" t="s">
        <v>7</v>
      </c>
      <c r="G1579" s="129" t="s">
        <v>8</v>
      </c>
      <c r="I1579" s="110"/>
    </row>
    <row r="1580" spans="1:11" ht="16.350000000000001" customHeight="1">
      <c r="A1580" s="45">
        <v>1</v>
      </c>
      <c r="B1580" s="134" t="s">
        <v>855</v>
      </c>
      <c r="C1580" s="120" t="s">
        <v>63</v>
      </c>
      <c r="D1580" s="9"/>
      <c r="E1580" s="9"/>
      <c r="F1580" s="130">
        <f>IF(E1580="",0,IF(E1580&gt;0,RANK(E1580,$E$1564:$E$1585,1)))</f>
        <v>0</v>
      </c>
      <c r="G1580" s="131">
        <f>VLOOKUP(F1580,$L$3:$M$33,2,0)</f>
        <v>0</v>
      </c>
      <c r="I1580" s="110"/>
    </row>
    <row r="1581" spans="1:11" ht="16.350000000000001" customHeight="1">
      <c r="A1581" s="45">
        <v>2</v>
      </c>
      <c r="B1581" s="120" t="s">
        <v>434</v>
      </c>
      <c r="C1581" s="120" t="s">
        <v>13</v>
      </c>
      <c r="D1581" s="34"/>
      <c r="E1581" s="34"/>
      <c r="F1581" s="130">
        <f t="shared" ref="F1581:F1585" si="320">IF(E1581="",0,IF(E1581&gt;0,RANK(E1581,$E$1564:$E$1585,1)))</f>
        <v>0</v>
      </c>
      <c r="G1581" s="131">
        <f t="shared" ref="G1581:G1585" si="321">VLOOKUP(F1581,$L$3:$M$33,2,0)</f>
        <v>0</v>
      </c>
      <c r="I1581" s="110"/>
    </row>
    <row r="1582" spans="1:11" ht="16.350000000000001" customHeight="1">
      <c r="A1582" s="45">
        <v>3</v>
      </c>
      <c r="B1582" s="120" t="s">
        <v>531</v>
      </c>
      <c r="C1582" s="120" t="s">
        <v>13</v>
      </c>
      <c r="D1582" s="9"/>
      <c r="E1582" s="9"/>
      <c r="F1582" s="130">
        <f t="shared" si="320"/>
        <v>0</v>
      </c>
      <c r="G1582" s="131">
        <f t="shared" si="321"/>
        <v>0</v>
      </c>
      <c r="H1582" s="31">
        <v>731219</v>
      </c>
      <c r="I1582" s="111"/>
      <c r="J1582" s="101"/>
      <c r="K1582" s="101"/>
    </row>
    <row r="1583" spans="1:11" ht="16.350000000000001" customHeight="1">
      <c r="A1583" s="45">
        <v>4</v>
      </c>
      <c r="B1583" s="120" t="s">
        <v>435</v>
      </c>
      <c r="C1583" s="120" t="s">
        <v>88</v>
      </c>
      <c r="D1583" s="9"/>
      <c r="E1583" s="9"/>
      <c r="F1583" s="130">
        <f t="shared" si="320"/>
        <v>0</v>
      </c>
      <c r="G1583" s="131">
        <f t="shared" si="321"/>
        <v>0</v>
      </c>
      <c r="H1583" s="31">
        <v>720227</v>
      </c>
      <c r="I1583" s="111"/>
      <c r="J1583" s="101"/>
      <c r="K1583" s="101"/>
    </row>
    <row r="1584" spans="1:11" ht="16.350000000000001" customHeight="1">
      <c r="A1584" s="45">
        <v>5</v>
      </c>
      <c r="B1584" s="120" t="s">
        <v>725</v>
      </c>
      <c r="C1584" s="120" t="s">
        <v>88</v>
      </c>
      <c r="D1584" s="85"/>
      <c r="E1584" s="9"/>
      <c r="F1584" s="130">
        <f t="shared" si="320"/>
        <v>0</v>
      </c>
      <c r="G1584" s="131">
        <f t="shared" si="321"/>
        <v>0</v>
      </c>
      <c r="I1584" s="110"/>
    </row>
    <row r="1585" spans="1:9" s="35" customFormat="1" ht="16.350000000000001" customHeight="1">
      <c r="A1585" s="45">
        <v>6</v>
      </c>
      <c r="B1585" s="127" t="s">
        <v>856</v>
      </c>
      <c r="C1585" s="120" t="s">
        <v>401</v>
      </c>
      <c r="D1585" s="34"/>
      <c r="E1585" s="9"/>
      <c r="F1585" s="130">
        <f t="shared" si="320"/>
        <v>0</v>
      </c>
      <c r="G1585" s="131">
        <f t="shared" si="321"/>
        <v>0</v>
      </c>
      <c r="I1585" s="110"/>
    </row>
    <row r="1586" spans="1:9" s="35" customFormat="1" ht="16.350000000000001" customHeight="1">
      <c r="A1586" s="47" t="s">
        <v>857</v>
      </c>
      <c r="B1586" s="63"/>
      <c r="C1586" s="64"/>
      <c r="D1586" s="65"/>
      <c r="E1586" s="65"/>
      <c r="F1586" s="65"/>
      <c r="G1586" s="66"/>
    </row>
    <row r="1587" spans="1:9" s="35" customFormat="1" ht="16.350000000000001" customHeight="1">
      <c r="A1587" s="43" t="s">
        <v>0</v>
      </c>
      <c r="B1587" s="7" t="s">
        <v>1</v>
      </c>
      <c r="C1587" s="8" t="s">
        <v>4</v>
      </c>
      <c r="D1587" s="7" t="s">
        <v>2</v>
      </c>
      <c r="E1587" s="7" t="s">
        <v>6</v>
      </c>
      <c r="F1587" s="7" t="s">
        <v>7</v>
      </c>
      <c r="G1587" s="44" t="s">
        <v>8</v>
      </c>
      <c r="I1587" s="110"/>
    </row>
    <row r="1588" spans="1:9" s="35" customFormat="1" ht="16.350000000000001" customHeight="1">
      <c r="A1588" s="45">
        <v>1</v>
      </c>
      <c r="B1588" s="85"/>
      <c r="C1588" s="85"/>
      <c r="D1588" s="9"/>
      <c r="E1588" s="9"/>
      <c r="F1588" s="10">
        <f>IF(E1588="",0,IF(E1588&gt;0,RANK(E1588,$E$1588:$E$1593,1)))</f>
        <v>0</v>
      </c>
      <c r="G1588" s="46">
        <f>VLOOKUP(F1588,$L$3:$M$33,2,0)</f>
        <v>0</v>
      </c>
      <c r="I1588" s="110"/>
    </row>
    <row r="1589" spans="1:9" s="35" customFormat="1" ht="16.350000000000001" customHeight="1">
      <c r="A1589" s="45">
        <v>2</v>
      </c>
      <c r="B1589" s="120" t="s">
        <v>730</v>
      </c>
      <c r="C1589" s="120" t="s">
        <v>807</v>
      </c>
      <c r="D1589" s="9"/>
      <c r="E1589" s="9"/>
      <c r="F1589" s="10">
        <f t="shared" ref="F1589:F1593" si="322">IF(E1589="",0,IF(E1589&gt;0,RANK(E1589,$E$1588:$E$1593,1)))</f>
        <v>0</v>
      </c>
      <c r="G1589" s="46">
        <f t="shared" ref="G1589:G1593" si="323">VLOOKUP(F1589,$L$3:$M$33,2,0)</f>
        <v>0</v>
      </c>
      <c r="I1589" s="110"/>
    </row>
    <row r="1590" spans="1:9" s="35" customFormat="1" ht="16.350000000000001" customHeight="1">
      <c r="A1590" s="45">
        <v>3</v>
      </c>
      <c r="B1590" s="120" t="s">
        <v>642</v>
      </c>
      <c r="C1590" s="120" t="s">
        <v>201</v>
      </c>
      <c r="D1590" s="9"/>
      <c r="E1590" s="9"/>
      <c r="F1590" s="10">
        <f t="shared" si="322"/>
        <v>0</v>
      </c>
      <c r="G1590" s="46">
        <f t="shared" si="323"/>
        <v>0</v>
      </c>
      <c r="I1590" s="110"/>
    </row>
    <row r="1591" spans="1:9" s="35" customFormat="1" ht="16.350000000000001" customHeight="1">
      <c r="A1591" s="45">
        <v>4</v>
      </c>
      <c r="B1591" s="120" t="s">
        <v>643</v>
      </c>
      <c r="C1591" s="120" t="s">
        <v>13</v>
      </c>
      <c r="D1591" s="9"/>
      <c r="E1591" s="9"/>
      <c r="F1591" s="10">
        <f t="shared" si="322"/>
        <v>0</v>
      </c>
      <c r="G1591" s="46">
        <f t="shared" si="323"/>
        <v>0</v>
      </c>
      <c r="I1591" s="110"/>
    </row>
    <row r="1592" spans="1:9" s="35" customFormat="1" ht="16.350000000000001" customHeight="1">
      <c r="A1592" s="45">
        <v>5</v>
      </c>
      <c r="B1592" s="85"/>
      <c r="C1592" s="85"/>
      <c r="D1592" s="9"/>
      <c r="E1592" s="9"/>
      <c r="F1592" s="10">
        <f t="shared" si="322"/>
        <v>0</v>
      </c>
      <c r="G1592" s="46">
        <f t="shared" si="323"/>
        <v>0</v>
      </c>
      <c r="I1592" s="110"/>
    </row>
    <row r="1593" spans="1:9" s="35" customFormat="1" ht="16.350000000000001" customHeight="1">
      <c r="A1593" s="45">
        <v>6</v>
      </c>
      <c r="B1593" s="85"/>
      <c r="C1593" s="85"/>
      <c r="D1593" s="34"/>
      <c r="E1593" s="9"/>
      <c r="F1593" s="10">
        <f t="shared" si="322"/>
        <v>0</v>
      </c>
      <c r="G1593" s="46">
        <f t="shared" si="323"/>
        <v>0</v>
      </c>
      <c r="I1593" s="110"/>
    </row>
    <row r="1594" spans="1:9" s="35" customFormat="1" ht="16.350000000000001" customHeight="1">
      <c r="A1594" s="47" t="s">
        <v>858</v>
      </c>
      <c r="B1594" s="63"/>
      <c r="C1594" s="64"/>
      <c r="D1594" s="65"/>
      <c r="E1594" s="65"/>
      <c r="F1594" s="65"/>
      <c r="G1594" s="66"/>
      <c r="I1594" s="110"/>
    </row>
    <row r="1595" spans="1:9" s="35" customFormat="1" ht="16.350000000000001" customHeight="1">
      <c r="A1595" s="43" t="s">
        <v>0</v>
      </c>
      <c r="B1595" s="7" t="s">
        <v>1</v>
      </c>
      <c r="C1595" s="8" t="s">
        <v>4</v>
      </c>
      <c r="D1595" s="7" t="s">
        <v>2</v>
      </c>
      <c r="E1595" s="7" t="s">
        <v>6</v>
      </c>
      <c r="F1595" s="7" t="s">
        <v>7</v>
      </c>
      <c r="G1595" s="44" t="s">
        <v>8</v>
      </c>
      <c r="I1595" s="110"/>
    </row>
    <row r="1596" spans="1:9" s="35" customFormat="1" ht="16.350000000000001" customHeight="1">
      <c r="A1596" s="45">
        <v>1</v>
      </c>
      <c r="B1596" s="120" t="s">
        <v>859</v>
      </c>
      <c r="C1596" s="120" t="s">
        <v>860</v>
      </c>
      <c r="D1596" s="9"/>
      <c r="E1596" s="9"/>
      <c r="F1596" s="10">
        <f>IF(E1596="",0,IF(E1596&gt;0,RANK(E1596,$E$1596:$E$1601,1)))</f>
        <v>0</v>
      </c>
      <c r="G1596" s="46">
        <f>VLOOKUP(F1596,$L$3:$M$33,2,0)</f>
        <v>0</v>
      </c>
      <c r="I1596" s="110"/>
    </row>
    <row r="1597" spans="1:9" s="35" customFormat="1" ht="16.350000000000001" customHeight="1">
      <c r="A1597" s="45">
        <v>2</v>
      </c>
      <c r="B1597" s="120" t="s">
        <v>861</v>
      </c>
      <c r="C1597" s="120" t="s">
        <v>64</v>
      </c>
      <c r="D1597" s="9"/>
      <c r="E1597" s="9"/>
      <c r="F1597" s="10">
        <f t="shared" ref="F1597:F1601" si="324">IF(E1597="",0,IF(E1597&gt;0,RANK(E1597,$E$1596:$E$1601,1)))</f>
        <v>0</v>
      </c>
      <c r="G1597" s="46">
        <f t="shared" ref="G1597:G1601" si="325">VLOOKUP(F1597,$L$3:$M$33,2,0)</f>
        <v>0</v>
      </c>
      <c r="I1597" s="110"/>
    </row>
    <row r="1598" spans="1:9" s="35" customFormat="1" ht="16.350000000000001" customHeight="1">
      <c r="A1598" s="45">
        <v>3</v>
      </c>
      <c r="B1598" s="120" t="s">
        <v>546</v>
      </c>
      <c r="C1598" s="120" t="s">
        <v>547</v>
      </c>
      <c r="D1598" s="9"/>
      <c r="E1598" s="9"/>
      <c r="F1598" s="10">
        <f t="shared" si="324"/>
        <v>0</v>
      </c>
      <c r="G1598" s="46">
        <f t="shared" si="325"/>
        <v>0</v>
      </c>
      <c r="I1598" s="110"/>
    </row>
    <row r="1599" spans="1:9" s="35" customFormat="1" ht="16.350000000000001" customHeight="1">
      <c r="A1599" s="45">
        <v>4</v>
      </c>
      <c r="B1599" s="127" t="s">
        <v>549</v>
      </c>
      <c r="C1599" s="120" t="s">
        <v>84</v>
      </c>
      <c r="D1599" s="9"/>
      <c r="E1599" s="9"/>
      <c r="F1599" s="10">
        <f t="shared" si="324"/>
        <v>0</v>
      </c>
      <c r="G1599" s="46">
        <f t="shared" si="325"/>
        <v>0</v>
      </c>
      <c r="I1599" s="110"/>
    </row>
    <row r="1600" spans="1:9" s="35" customFormat="1" ht="16.350000000000001" customHeight="1">
      <c r="A1600" s="45">
        <v>5</v>
      </c>
      <c r="B1600" s="126" t="s">
        <v>550</v>
      </c>
      <c r="C1600" s="120" t="s">
        <v>551</v>
      </c>
      <c r="D1600" s="9"/>
      <c r="E1600" s="9"/>
      <c r="F1600" s="10">
        <f t="shared" si="324"/>
        <v>0</v>
      </c>
      <c r="G1600" s="46">
        <f t="shared" si="325"/>
        <v>0</v>
      </c>
      <c r="I1600" s="110"/>
    </row>
    <row r="1601" spans="1:11" s="35" customFormat="1" ht="16.350000000000001" customHeight="1">
      <c r="A1601" s="45">
        <v>6</v>
      </c>
      <c r="B1601" s="120" t="s">
        <v>552</v>
      </c>
      <c r="C1601" s="120" t="s">
        <v>88</v>
      </c>
      <c r="D1601" s="34"/>
      <c r="E1601" s="9"/>
      <c r="F1601" s="10">
        <f t="shared" si="324"/>
        <v>0</v>
      </c>
      <c r="G1601" s="46">
        <f t="shared" si="325"/>
        <v>0</v>
      </c>
      <c r="I1601" s="110"/>
    </row>
    <row r="1602" spans="1:11" s="35" customFormat="1" ht="16.350000000000001" customHeight="1">
      <c r="A1602" s="47" t="s">
        <v>862</v>
      </c>
      <c r="B1602" s="63"/>
      <c r="C1602" s="64"/>
      <c r="D1602" s="65"/>
      <c r="E1602" s="65"/>
      <c r="F1602" s="65"/>
      <c r="G1602" s="66"/>
      <c r="I1602" s="110"/>
    </row>
    <row r="1603" spans="1:11" s="35" customFormat="1" ht="16.350000000000001" customHeight="1">
      <c r="A1603" s="43" t="s">
        <v>0</v>
      </c>
      <c r="B1603" s="7" t="s">
        <v>1</v>
      </c>
      <c r="C1603" s="8" t="s">
        <v>4</v>
      </c>
      <c r="D1603" s="7" t="s">
        <v>2</v>
      </c>
      <c r="E1603" s="7" t="s">
        <v>6</v>
      </c>
      <c r="F1603" s="7" t="s">
        <v>7</v>
      </c>
      <c r="G1603" s="44" t="s">
        <v>8</v>
      </c>
      <c r="I1603" s="110"/>
    </row>
    <row r="1604" spans="1:11" s="35" customFormat="1" ht="16.350000000000001" customHeight="1">
      <c r="A1604" s="45">
        <v>1</v>
      </c>
      <c r="B1604" s="85"/>
      <c r="C1604" s="85"/>
      <c r="D1604" s="9"/>
      <c r="E1604" s="9"/>
      <c r="F1604" s="10">
        <f>IF(E1604="",0,IF(E1604&gt;0,RANK(E1604,$E$1604:$E$1609,1)))</f>
        <v>0</v>
      </c>
      <c r="G1604" s="46">
        <f>VLOOKUP(F1604,$L$3:$M$33,2,0)</f>
        <v>0</v>
      </c>
      <c r="I1604" s="110"/>
    </row>
    <row r="1605" spans="1:11" s="35" customFormat="1" ht="16.350000000000001" customHeight="1">
      <c r="A1605" s="45">
        <v>2</v>
      </c>
      <c r="B1605" s="126" t="s">
        <v>754</v>
      </c>
      <c r="C1605" s="126" t="s">
        <v>850</v>
      </c>
      <c r="D1605" s="9"/>
      <c r="E1605" s="9"/>
      <c r="F1605" s="10">
        <f t="shared" ref="F1605:F1609" si="326">IF(E1605="",0,IF(E1605&gt;0,RANK(E1605,$E$1604:$E$1609,1)))</f>
        <v>0</v>
      </c>
      <c r="G1605" s="46">
        <f t="shared" ref="G1605:G1609" si="327">VLOOKUP(F1605,$L$3:$M$33,2,0)</f>
        <v>0</v>
      </c>
      <c r="I1605" s="110"/>
    </row>
    <row r="1606" spans="1:11" s="35" customFormat="1" ht="16.350000000000001" customHeight="1">
      <c r="A1606" s="45">
        <v>3</v>
      </c>
      <c r="B1606" s="120" t="s">
        <v>561</v>
      </c>
      <c r="C1606" s="120" t="s">
        <v>14</v>
      </c>
      <c r="D1606" s="9"/>
      <c r="E1606" s="9"/>
      <c r="F1606" s="10">
        <f t="shared" si="326"/>
        <v>0</v>
      </c>
      <c r="G1606" s="46">
        <f t="shared" si="327"/>
        <v>0</v>
      </c>
      <c r="I1606" s="110"/>
    </row>
    <row r="1607" spans="1:11" s="35" customFormat="1" ht="16.350000000000001" customHeight="1">
      <c r="A1607" s="45">
        <v>4</v>
      </c>
      <c r="B1607" s="127" t="s">
        <v>562</v>
      </c>
      <c r="C1607" s="120" t="s">
        <v>84</v>
      </c>
      <c r="D1607" s="9"/>
      <c r="E1607" s="9"/>
      <c r="F1607" s="10">
        <f t="shared" si="326"/>
        <v>0</v>
      </c>
      <c r="G1607" s="46">
        <f t="shared" si="327"/>
        <v>0</v>
      </c>
      <c r="I1607" s="110"/>
    </row>
    <row r="1608" spans="1:11" s="35" customFormat="1" ht="16.350000000000001" customHeight="1">
      <c r="A1608" s="45">
        <v>5</v>
      </c>
      <c r="B1608" s="120" t="s">
        <v>563</v>
      </c>
      <c r="C1608" s="120" t="s">
        <v>401</v>
      </c>
      <c r="D1608" s="9"/>
      <c r="E1608" s="9"/>
      <c r="F1608" s="10">
        <f t="shared" si="326"/>
        <v>0</v>
      </c>
      <c r="G1608" s="46">
        <f t="shared" si="327"/>
        <v>0</v>
      </c>
      <c r="I1608" s="110"/>
    </row>
    <row r="1609" spans="1:11" s="35" customFormat="1" ht="16.350000000000001" customHeight="1">
      <c r="A1609" s="45">
        <v>6</v>
      </c>
      <c r="B1609" s="85"/>
      <c r="C1609" s="85"/>
      <c r="D1609" s="34"/>
      <c r="E1609" s="9"/>
      <c r="F1609" s="10">
        <f t="shared" si="326"/>
        <v>0</v>
      </c>
      <c r="G1609" s="46">
        <f t="shared" si="327"/>
        <v>0</v>
      </c>
      <c r="I1609" s="110"/>
    </row>
    <row r="1610" spans="1:11" ht="16.350000000000001" customHeight="1">
      <c r="A1610" s="47" t="s">
        <v>863</v>
      </c>
      <c r="B1610" s="5"/>
      <c r="C1610" s="4"/>
      <c r="G1610" s="48"/>
    </row>
    <row r="1611" spans="1:11" ht="16.350000000000001" customHeight="1">
      <c r="A1611" s="43" t="s">
        <v>0</v>
      </c>
      <c r="B1611" s="7" t="s">
        <v>1</v>
      </c>
      <c r="C1611" s="8" t="s">
        <v>4</v>
      </c>
      <c r="D1611" s="7" t="s">
        <v>2</v>
      </c>
      <c r="E1611" s="7" t="s">
        <v>6</v>
      </c>
      <c r="F1611" s="128" t="s">
        <v>7</v>
      </c>
      <c r="G1611" s="129" t="s">
        <v>8</v>
      </c>
      <c r="I1611" s="110"/>
    </row>
    <row r="1612" spans="1:11" ht="16.350000000000001" customHeight="1">
      <c r="A1612" s="45">
        <v>1</v>
      </c>
      <c r="B1612" s="127"/>
      <c r="C1612" s="120"/>
      <c r="D1612" s="9"/>
      <c r="E1612" s="9"/>
      <c r="F1612" s="130">
        <f t="shared" ref="F1612:F1617" si="328">IF(E1612="",0,IF(E1612&gt;0,RANK(E1612,$E$1612:$E$1625,1)))</f>
        <v>0</v>
      </c>
      <c r="G1612" s="131">
        <f>VLOOKUP(F1612,$L$3:$M$33,2,0)</f>
        <v>0</v>
      </c>
      <c r="I1612" s="110"/>
    </row>
    <row r="1613" spans="1:11" ht="16.350000000000001" customHeight="1">
      <c r="A1613" s="45">
        <v>2</v>
      </c>
      <c r="B1613" s="120" t="s">
        <v>766</v>
      </c>
      <c r="C1613" s="120" t="s">
        <v>14</v>
      </c>
      <c r="D1613" s="9"/>
      <c r="E1613" s="9"/>
      <c r="F1613" s="130">
        <f t="shared" si="328"/>
        <v>0</v>
      </c>
      <c r="G1613" s="131">
        <f t="shared" ref="G1613:G1617" si="329">VLOOKUP(F1613,$L$3:$M$33,2,0)</f>
        <v>0</v>
      </c>
      <c r="I1613" s="110"/>
    </row>
    <row r="1614" spans="1:11" ht="16.350000000000001" customHeight="1">
      <c r="A1614" s="45">
        <v>3</v>
      </c>
      <c r="B1614" s="120" t="s">
        <v>574</v>
      </c>
      <c r="C1614" s="120" t="s">
        <v>14</v>
      </c>
      <c r="D1614" s="9"/>
      <c r="E1614" s="9"/>
      <c r="F1614" s="130">
        <f t="shared" si="328"/>
        <v>0</v>
      </c>
      <c r="G1614" s="131">
        <f t="shared" si="329"/>
        <v>0</v>
      </c>
      <c r="H1614" s="32">
        <v>681005</v>
      </c>
      <c r="I1614" s="111"/>
      <c r="J1614" s="102"/>
      <c r="K1614" s="102"/>
    </row>
    <row r="1615" spans="1:11" ht="16.350000000000001" customHeight="1">
      <c r="A1615" s="45">
        <v>4</v>
      </c>
      <c r="B1615" s="127" t="s">
        <v>670</v>
      </c>
      <c r="C1615" s="120" t="s">
        <v>13</v>
      </c>
      <c r="D1615" s="9"/>
      <c r="E1615" s="9"/>
      <c r="F1615" s="130">
        <f t="shared" si="328"/>
        <v>0</v>
      </c>
      <c r="G1615" s="131">
        <f t="shared" si="329"/>
        <v>0</v>
      </c>
      <c r="H1615" s="32">
        <v>670605</v>
      </c>
      <c r="I1615" s="111"/>
      <c r="J1615" s="102"/>
      <c r="K1615" s="102"/>
    </row>
    <row r="1616" spans="1:11" ht="16.350000000000001" customHeight="1">
      <c r="A1616" s="45">
        <v>5</v>
      </c>
      <c r="B1616" s="127" t="s">
        <v>671</v>
      </c>
      <c r="C1616" s="120" t="s">
        <v>13</v>
      </c>
      <c r="D1616" s="9"/>
      <c r="E1616" s="9"/>
      <c r="F1616" s="130">
        <f t="shared" si="328"/>
        <v>0</v>
      </c>
      <c r="G1616" s="131">
        <f t="shared" si="329"/>
        <v>0</v>
      </c>
      <c r="I1616" s="110"/>
    </row>
    <row r="1617" spans="1:9" ht="16.350000000000001" customHeight="1">
      <c r="A1617" s="45">
        <v>6</v>
      </c>
      <c r="B1617" s="127"/>
      <c r="C1617" s="120"/>
      <c r="D1617" s="9"/>
      <c r="E1617" s="9"/>
      <c r="F1617" s="130">
        <f t="shared" si="328"/>
        <v>0</v>
      </c>
      <c r="G1617" s="131">
        <f t="shared" si="329"/>
        <v>0</v>
      </c>
      <c r="I1617" s="110"/>
    </row>
    <row r="1618" spans="1:9" ht="16.350000000000001" customHeight="1">
      <c r="A1618" s="47" t="s">
        <v>865</v>
      </c>
      <c r="B1618" s="5"/>
      <c r="C1618" s="4"/>
      <c r="F1618" s="133"/>
      <c r="G1618" s="132"/>
      <c r="I1618" s="110"/>
    </row>
    <row r="1619" spans="1:9" ht="16.350000000000001" customHeight="1">
      <c r="A1619" s="43" t="s">
        <v>0</v>
      </c>
      <c r="B1619" s="7" t="s">
        <v>1</v>
      </c>
      <c r="C1619" s="8" t="s">
        <v>4</v>
      </c>
      <c r="D1619" s="7" t="s">
        <v>2</v>
      </c>
      <c r="E1619" s="7" t="s">
        <v>6</v>
      </c>
      <c r="F1619" s="128" t="s">
        <v>7</v>
      </c>
      <c r="G1619" s="129" t="s">
        <v>8</v>
      </c>
      <c r="I1619" s="110"/>
    </row>
    <row r="1620" spans="1:9" ht="16.350000000000001" customHeight="1">
      <c r="A1620" s="45">
        <v>1</v>
      </c>
      <c r="B1620" s="90"/>
      <c r="C1620" s="23"/>
      <c r="D1620" s="9"/>
      <c r="E1620" s="9"/>
      <c r="F1620" s="130">
        <f t="shared" ref="F1620:F1625" si="330">IF(E1620="",0,IF(E1620&gt;0,RANK(E1620,$E$1612:$E$1625,1)))</f>
        <v>0</v>
      </c>
      <c r="G1620" s="131">
        <f>VLOOKUP(F1620,$L$3:$M$33,2,0)</f>
        <v>0</v>
      </c>
      <c r="I1620" s="110"/>
    </row>
    <row r="1621" spans="1:9" ht="16.350000000000001" customHeight="1">
      <c r="A1621" s="45">
        <v>2</v>
      </c>
      <c r="B1621" s="127" t="s">
        <v>866</v>
      </c>
      <c r="C1621" s="120" t="s">
        <v>13</v>
      </c>
      <c r="D1621" s="9"/>
      <c r="E1621" s="9"/>
      <c r="F1621" s="130">
        <f t="shared" si="330"/>
        <v>0</v>
      </c>
      <c r="G1621" s="131">
        <f t="shared" ref="G1621:G1625" si="331">VLOOKUP(F1621,$L$3:$M$33,2,0)</f>
        <v>0</v>
      </c>
      <c r="I1621" s="110"/>
    </row>
    <row r="1622" spans="1:9" ht="16.350000000000001" customHeight="1">
      <c r="A1622" s="45">
        <v>3</v>
      </c>
      <c r="B1622" s="127" t="s">
        <v>572</v>
      </c>
      <c r="C1622" s="120" t="s">
        <v>405</v>
      </c>
      <c r="D1622" s="9"/>
      <c r="E1622" s="9"/>
      <c r="F1622" s="130">
        <f t="shared" si="330"/>
        <v>0</v>
      </c>
      <c r="G1622" s="131">
        <f t="shared" si="331"/>
        <v>0</v>
      </c>
      <c r="I1622" s="110"/>
    </row>
    <row r="1623" spans="1:9" ht="16.350000000000001" customHeight="1">
      <c r="A1623" s="45">
        <v>4</v>
      </c>
      <c r="B1623" s="120" t="s">
        <v>864</v>
      </c>
      <c r="C1623" s="120" t="s">
        <v>84</v>
      </c>
      <c r="D1623" s="9"/>
      <c r="E1623" s="9"/>
      <c r="F1623" s="130">
        <f t="shared" si="330"/>
        <v>0</v>
      </c>
      <c r="G1623" s="131">
        <f t="shared" si="331"/>
        <v>0</v>
      </c>
      <c r="I1623" s="110"/>
    </row>
    <row r="1624" spans="1:9" ht="16.350000000000001" customHeight="1">
      <c r="A1624" s="45">
        <v>5</v>
      </c>
      <c r="B1624" s="85"/>
      <c r="C1624" s="85"/>
      <c r="D1624" s="9"/>
      <c r="E1624" s="9"/>
      <c r="F1624" s="130">
        <f t="shared" si="330"/>
        <v>0</v>
      </c>
      <c r="G1624" s="131">
        <f t="shared" si="331"/>
        <v>0</v>
      </c>
      <c r="I1624" s="110"/>
    </row>
    <row r="1625" spans="1:9" ht="16.350000000000001" customHeight="1">
      <c r="A1625" s="45">
        <v>6</v>
      </c>
      <c r="B1625" s="23"/>
      <c r="C1625" s="91"/>
      <c r="D1625" s="9"/>
      <c r="E1625" s="9"/>
      <c r="F1625" s="130">
        <f t="shared" si="330"/>
        <v>0</v>
      </c>
      <c r="G1625" s="131">
        <f t="shared" si="331"/>
        <v>0</v>
      </c>
      <c r="I1625" s="110"/>
    </row>
    <row r="1626" spans="1:9" ht="16.350000000000001" customHeight="1">
      <c r="A1626" s="47" t="s">
        <v>867</v>
      </c>
      <c r="B1626" s="5"/>
      <c r="C1626" s="4"/>
      <c r="D1626" s="14"/>
      <c r="E1626" s="14"/>
      <c r="F1626" s="14"/>
      <c r="G1626" s="53"/>
    </row>
    <row r="1627" spans="1:9" ht="16.350000000000001" customHeight="1">
      <c r="A1627" s="43" t="s">
        <v>0</v>
      </c>
      <c r="B1627" s="7" t="s">
        <v>1</v>
      </c>
      <c r="C1627" s="8" t="s">
        <v>4</v>
      </c>
      <c r="D1627" s="7" t="s">
        <v>2</v>
      </c>
      <c r="E1627" s="7" t="s">
        <v>6</v>
      </c>
      <c r="F1627" s="7" t="s">
        <v>7</v>
      </c>
      <c r="G1627" s="44" t="s">
        <v>8</v>
      </c>
      <c r="I1627" s="110"/>
    </row>
    <row r="1628" spans="1:9" ht="16.350000000000001" customHeight="1">
      <c r="A1628" s="45">
        <v>1</v>
      </c>
      <c r="B1628" s="120" t="s">
        <v>868</v>
      </c>
      <c r="C1628" s="120" t="s">
        <v>53</v>
      </c>
      <c r="D1628" s="9"/>
      <c r="E1628" s="9"/>
      <c r="F1628" s="10">
        <f>IF(E1628="",0,IF(E1628&gt;0,RANK(E1628,$E$1628:$E$1633,1)))</f>
        <v>0</v>
      </c>
      <c r="G1628" s="46">
        <f>VLOOKUP(F1628,$L$3:$M$33,2,0)</f>
        <v>0</v>
      </c>
      <c r="I1628" s="110"/>
    </row>
    <row r="1629" spans="1:9" ht="16.350000000000001" customHeight="1">
      <c r="A1629" s="45">
        <v>2</v>
      </c>
      <c r="B1629" s="120" t="s">
        <v>869</v>
      </c>
      <c r="C1629" s="120" t="s">
        <v>870</v>
      </c>
      <c r="D1629" s="9"/>
      <c r="E1629" s="9"/>
      <c r="F1629" s="10">
        <f t="shared" ref="F1629:F1633" si="332">IF(E1629="",0,IF(E1629&gt;0,RANK(E1629,$E$1628:$E$1633,1)))</f>
        <v>0</v>
      </c>
      <c r="G1629" s="46">
        <f t="shared" ref="G1629:G1633" si="333">VLOOKUP(F1629,$L$3:$M$33,2,0)</f>
        <v>0</v>
      </c>
      <c r="I1629" s="110"/>
    </row>
    <row r="1630" spans="1:9" ht="16.350000000000001" customHeight="1">
      <c r="A1630" s="45">
        <v>3</v>
      </c>
      <c r="B1630" s="127" t="s">
        <v>583</v>
      </c>
      <c r="C1630" s="120" t="s">
        <v>13</v>
      </c>
      <c r="D1630" s="9"/>
      <c r="E1630" s="9"/>
      <c r="F1630" s="10">
        <f t="shared" si="332"/>
        <v>0</v>
      </c>
      <c r="G1630" s="46">
        <f t="shared" si="333"/>
        <v>0</v>
      </c>
      <c r="I1630" s="110"/>
    </row>
    <row r="1631" spans="1:9" ht="16.350000000000001" customHeight="1">
      <c r="A1631" s="45">
        <v>4</v>
      </c>
      <c r="B1631" s="120" t="s">
        <v>584</v>
      </c>
      <c r="C1631" s="120" t="s">
        <v>13</v>
      </c>
      <c r="D1631" s="9"/>
      <c r="E1631" s="9"/>
      <c r="F1631" s="10">
        <f t="shared" si="332"/>
        <v>0</v>
      </c>
      <c r="G1631" s="46">
        <f t="shared" si="333"/>
        <v>0</v>
      </c>
      <c r="I1631" s="110"/>
    </row>
    <row r="1632" spans="1:9" ht="16.350000000000001" customHeight="1">
      <c r="A1632" s="45">
        <v>5</v>
      </c>
      <c r="B1632" s="120" t="s">
        <v>585</v>
      </c>
      <c r="C1632" s="120" t="s">
        <v>88</v>
      </c>
      <c r="D1632" s="9"/>
      <c r="E1632" s="9"/>
      <c r="F1632" s="10">
        <f t="shared" si="332"/>
        <v>0</v>
      </c>
      <c r="G1632" s="46">
        <f t="shared" si="333"/>
        <v>0</v>
      </c>
      <c r="I1632" s="110"/>
    </row>
    <row r="1633" spans="1:9" ht="16.350000000000001" customHeight="1">
      <c r="A1633" s="45">
        <v>6</v>
      </c>
      <c r="B1633" s="85"/>
      <c r="C1633" s="85"/>
      <c r="D1633" s="9"/>
      <c r="E1633" s="9"/>
      <c r="F1633" s="10">
        <f t="shared" si="332"/>
        <v>0</v>
      </c>
      <c r="G1633" s="46">
        <f t="shared" si="333"/>
        <v>0</v>
      </c>
      <c r="I1633" s="110"/>
    </row>
    <row r="1634" spans="1:9" ht="15.75" customHeight="1">
      <c r="A1634" s="47" t="s">
        <v>871</v>
      </c>
      <c r="B1634" s="5"/>
      <c r="C1634" s="4"/>
      <c r="D1634" s="14"/>
      <c r="E1634" s="14"/>
      <c r="F1634" s="14"/>
      <c r="G1634" s="53"/>
      <c r="I1634" s="110"/>
    </row>
    <row r="1635" spans="1:9" ht="16.350000000000001" customHeight="1">
      <c r="A1635" s="43" t="s">
        <v>0</v>
      </c>
      <c r="B1635" s="7" t="s">
        <v>1</v>
      </c>
      <c r="C1635" s="8" t="s">
        <v>4</v>
      </c>
      <c r="D1635" s="7" t="s">
        <v>2</v>
      </c>
      <c r="E1635" s="7" t="s">
        <v>6</v>
      </c>
      <c r="F1635" s="7" t="s">
        <v>7</v>
      </c>
      <c r="G1635" s="44" t="s">
        <v>8</v>
      </c>
      <c r="I1635" s="110"/>
    </row>
    <row r="1636" spans="1:9" ht="16.350000000000001" customHeight="1">
      <c r="A1636" s="45">
        <v>1</v>
      </c>
      <c r="B1636" s="120" t="s">
        <v>596</v>
      </c>
      <c r="C1636" s="125" t="s">
        <v>53</v>
      </c>
      <c r="D1636" s="15"/>
      <c r="E1636" s="11"/>
      <c r="F1636" s="10">
        <f>IF(E1636="",0,IF(E1636&gt;0,RANK(E1636,$E$1636:$E$1641,1)))</f>
        <v>0</v>
      </c>
      <c r="G1636" s="46">
        <f>VLOOKUP(F1636,$L$3:$M$33,2,0)</f>
        <v>0</v>
      </c>
      <c r="I1636" s="110"/>
    </row>
    <row r="1637" spans="1:9" ht="16.350000000000001" customHeight="1">
      <c r="A1637" s="45">
        <v>2</v>
      </c>
      <c r="B1637" s="120" t="s">
        <v>597</v>
      </c>
      <c r="C1637" s="120" t="s">
        <v>14</v>
      </c>
      <c r="D1637" s="15"/>
      <c r="E1637" s="11"/>
      <c r="F1637" s="10">
        <f t="shared" ref="F1637:F1641" si="334">IF(E1637="",0,IF(E1637&gt;0,RANK(E1637,$E$1636:$E$1641,1)))</f>
        <v>0</v>
      </c>
      <c r="G1637" s="46">
        <f t="shared" ref="G1637:G1641" si="335">VLOOKUP(F1637,$L$3:$M$33,2,0)</f>
        <v>0</v>
      </c>
      <c r="I1637" s="110"/>
    </row>
    <row r="1638" spans="1:9" ht="16.350000000000001" customHeight="1">
      <c r="A1638" s="45">
        <v>3</v>
      </c>
      <c r="B1638" s="127" t="s">
        <v>872</v>
      </c>
      <c r="C1638" s="120" t="s">
        <v>14</v>
      </c>
      <c r="D1638" s="15"/>
      <c r="E1638" s="11"/>
      <c r="F1638" s="10">
        <f t="shared" si="334"/>
        <v>0</v>
      </c>
      <c r="G1638" s="46">
        <f t="shared" si="335"/>
        <v>0</v>
      </c>
      <c r="I1638" s="110"/>
    </row>
    <row r="1639" spans="1:9" ht="16.350000000000001" customHeight="1">
      <c r="A1639" s="45">
        <v>4</v>
      </c>
      <c r="B1639" s="120" t="s">
        <v>598</v>
      </c>
      <c r="C1639" s="120" t="s">
        <v>201</v>
      </c>
      <c r="D1639" s="15"/>
      <c r="E1639" s="11"/>
      <c r="F1639" s="10">
        <f t="shared" si="334"/>
        <v>0</v>
      </c>
      <c r="G1639" s="46">
        <f t="shared" si="335"/>
        <v>0</v>
      </c>
      <c r="I1639" s="110"/>
    </row>
    <row r="1640" spans="1:9" ht="16.350000000000001" customHeight="1">
      <c r="A1640" s="45">
        <v>5</v>
      </c>
      <c r="B1640" s="120" t="s">
        <v>686</v>
      </c>
      <c r="C1640" s="120" t="s">
        <v>870</v>
      </c>
      <c r="D1640" s="33"/>
      <c r="E1640" s="11"/>
      <c r="F1640" s="10">
        <f t="shared" si="334"/>
        <v>0</v>
      </c>
      <c r="G1640" s="46">
        <f t="shared" si="335"/>
        <v>0</v>
      </c>
      <c r="I1640" s="110"/>
    </row>
    <row r="1641" spans="1:9" ht="16.350000000000001" customHeight="1">
      <c r="A1641" s="45">
        <v>6</v>
      </c>
      <c r="B1641" s="120" t="s">
        <v>599</v>
      </c>
      <c r="C1641" s="120" t="s">
        <v>551</v>
      </c>
      <c r="D1641" s="9"/>
      <c r="E1641" s="11"/>
      <c r="F1641" s="10">
        <f t="shared" si="334"/>
        <v>0</v>
      </c>
      <c r="G1641" s="46">
        <f t="shared" si="335"/>
        <v>0</v>
      </c>
      <c r="I1641" s="110"/>
    </row>
    <row r="1642" spans="1:9" ht="16.350000000000001" customHeight="1">
      <c r="A1642" s="47" t="s">
        <v>875</v>
      </c>
      <c r="B1642" s="5"/>
      <c r="C1642" s="4"/>
      <c r="D1642" s="14"/>
      <c r="E1642" s="14"/>
      <c r="F1642" s="14"/>
      <c r="G1642" s="53"/>
      <c r="I1642" s="110"/>
    </row>
    <row r="1643" spans="1:9" ht="16.350000000000001" customHeight="1">
      <c r="A1643" s="43" t="s">
        <v>0</v>
      </c>
      <c r="B1643" s="7" t="s">
        <v>1</v>
      </c>
      <c r="C1643" s="8" t="s">
        <v>4</v>
      </c>
      <c r="D1643" s="7" t="s">
        <v>2</v>
      </c>
      <c r="E1643" s="7" t="s">
        <v>6</v>
      </c>
      <c r="F1643" s="7" t="s">
        <v>7</v>
      </c>
      <c r="G1643" s="44" t="s">
        <v>8</v>
      </c>
      <c r="I1643" s="110"/>
    </row>
    <row r="1644" spans="1:9" ht="16.350000000000001" customHeight="1">
      <c r="A1644" s="45">
        <v>1</v>
      </c>
      <c r="B1644" s="85"/>
      <c r="C1644" s="85"/>
      <c r="D1644" s="15"/>
      <c r="E1644" s="11"/>
      <c r="F1644" s="10">
        <f>IF(E1644="",0,IF(E1644&gt;0,RANK(E1644,$E$1644:$E$1649,1)))</f>
        <v>0</v>
      </c>
      <c r="G1644" s="46">
        <f>VLOOKUP(F1644,$L$3:$M$33,2,0)</f>
        <v>0</v>
      </c>
      <c r="I1644" s="110"/>
    </row>
    <row r="1645" spans="1:9" ht="16.350000000000001" customHeight="1">
      <c r="A1645" s="45">
        <v>2</v>
      </c>
      <c r="B1645" s="120" t="s">
        <v>607</v>
      </c>
      <c r="C1645" s="120" t="s">
        <v>64</v>
      </c>
      <c r="D1645" s="15"/>
      <c r="E1645" s="11"/>
      <c r="F1645" s="10">
        <f t="shared" ref="F1645:F1649" si="336">IF(E1645="",0,IF(E1645&gt;0,RANK(E1645,$E$1644:$E$1649,1)))</f>
        <v>0</v>
      </c>
      <c r="G1645" s="46">
        <f t="shared" ref="G1645:G1649" si="337">VLOOKUP(F1645,$L$3:$M$33,2,0)</f>
        <v>0</v>
      </c>
      <c r="I1645" s="110"/>
    </row>
    <row r="1646" spans="1:9" ht="16.350000000000001" customHeight="1">
      <c r="A1646" s="45">
        <v>3</v>
      </c>
      <c r="B1646" s="120" t="s">
        <v>873</v>
      </c>
      <c r="C1646" s="120" t="s">
        <v>64</v>
      </c>
      <c r="D1646" s="15"/>
      <c r="E1646" s="11"/>
      <c r="F1646" s="10">
        <f t="shared" si="336"/>
        <v>0</v>
      </c>
      <c r="G1646" s="46">
        <f t="shared" si="337"/>
        <v>0</v>
      </c>
      <c r="I1646" s="110"/>
    </row>
    <row r="1647" spans="1:9" ht="16.350000000000001" customHeight="1">
      <c r="A1647" s="45">
        <v>4</v>
      </c>
      <c r="B1647" s="120" t="s">
        <v>874</v>
      </c>
      <c r="C1647" s="120" t="s">
        <v>807</v>
      </c>
      <c r="D1647" s="15"/>
      <c r="E1647" s="11"/>
      <c r="F1647" s="10">
        <f t="shared" si="336"/>
        <v>0</v>
      </c>
      <c r="G1647" s="46">
        <f t="shared" si="337"/>
        <v>0</v>
      </c>
      <c r="I1647" s="110"/>
    </row>
    <row r="1648" spans="1:9" ht="16.350000000000001" customHeight="1">
      <c r="A1648" s="45">
        <v>5</v>
      </c>
      <c r="B1648" s="85"/>
      <c r="C1648" s="85"/>
      <c r="D1648" s="33"/>
      <c r="E1648" s="11"/>
      <c r="F1648" s="10">
        <f t="shared" si="336"/>
        <v>0</v>
      </c>
      <c r="G1648" s="46">
        <f t="shared" si="337"/>
        <v>0</v>
      </c>
      <c r="I1648" s="110"/>
    </row>
    <row r="1649" spans="1:9" ht="16.350000000000001" customHeight="1">
      <c r="A1649" s="45">
        <v>6</v>
      </c>
      <c r="B1649" s="90"/>
      <c r="C1649" s="23"/>
      <c r="D1649" s="9"/>
      <c r="E1649" s="11"/>
      <c r="F1649" s="10">
        <f t="shared" si="336"/>
        <v>0</v>
      </c>
      <c r="G1649" s="46">
        <f t="shared" si="337"/>
        <v>0</v>
      </c>
      <c r="I1649" s="110"/>
    </row>
    <row r="1650" spans="1:9" ht="16.350000000000001" customHeight="1">
      <c r="A1650" s="47" t="s">
        <v>876</v>
      </c>
      <c r="B1650" s="5"/>
      <c r="C1650" s="6"/>
      <c r="G1650" s="48"/>
    </row>
    <row r="1651" spans="1:9" ht="16.350000000000001" customHeight="1">
      <c r="A1651" s="43" t="s">
        <v>0</v>
      </c>
      <c r="B1651" s="7" t="s">
        <v>1</v>
      </c>
      <c r="C1651" s="8" t="s">
        <v>4</v>
      </c>
      <c r="D1651" s="7" t="s">
        <v>2</v>
      </c>
      <c r="E1651" s="7" t="s">
        <v>6</v>
      </c>
      <c r="F1651" s="7" t="s">
        <v>7</v>
      </c>
      <c r="G1651" s="44" t="s">
        <v>8</v>
      </c>
      <c r="I1651" s="110"/>
    </row>
    <row r="1652" spans="1:9" ht="16.350000000000001" customHeight="1">
      <c r="A1652" s="45">
        <v>1</v>
      </c>
      <c r="B1652" s="126" t="s">
        <v>792</v>
      </c>
      <c r="C1652" s="126" t="s">
        <v>98</v>
      </c>
      <c r="D1652" s="15"/>
      <c r="E1652" s="11"/>
      <c r="F1652" s="10">
        <f>IF(E1652="",0,IF(E1652&gt;0,RANK(E1652,$E$1652:$E$1657,1)))</f>
        <v>0</v>
      </c>
      <c r="G1652" s="46">
        <f>VLOOKUP(F1652,$L$3:$M$33,2,0)</f>
        <v>0</v>
      </c>
      <c r="I1652" s="110"/>
    </row>
    <row r="1653" spans="1:9" ht="16.350000000000001" customHeight="1">
      <c r="A1653" s="45">
        <v>2</v>
      </c>
      <c r="B1653" s="120" t="s">
        <v>699</v>
      </c>
      <c r="C1653" s="120" t="s">
        <v>64</v>
      </c>
      <c r="D1653" s="15"/>
      <c r="E1653" s="11"/>
      <c r="F1653" s="10">
        <f t="shared" ref="F1653:F1657" si="338">IF(E1653="",0,IF(E1653&gt;0,RANK(E1653,$E$1652:$E$1657,1)))</f>
        <v>0</v>
      </c>
      <c r="G1653" s="46">
        <f t="shared" ref="G1653:G1657" si="339">VLOOKUP(F1653,$L$3:$M$33,2,0)</f>
        <v>0</v>
      </c>
      <c r="I1653" s="110"/>
    </row>
    <row r="1654" spans="1:9" ht="16.350000000000001" customHeight="1">
      <c r="A1654" s="45">
        <v>3</v>
      </c>
      <c r="B1654" s="120" t="s">
        <v>399</v>
      </c>
      <c r="C1654" s="120" t="s">
        <v>269</v>
      </c>
      <c r="D1654" s="15"/>
      <c r="E1654" s="11"/>
      <c r="F1654" s="10">
        <f t="shared" si="338"/>
        <v>0</v>
      </c>
      <c r="G1654" s="46">
        <f t="shared" si="339"/>
        <v>0</v>
      </c>
      <c r="I1654" s="110"/>
    </row>
    <row r="1655" spans="1:9" ht="16.350000000000001" customHeight="1">
      <c r="A1655" s="45">
        <v>4</v>
      </c>
      <c r="B1655" s="120" t="s">
        <v>494</v>
      </c>
      <c r="C1655" s="120" t="s">
        <v>201</v>
      </c>
      <c r="D1655" s="15"/>
      <c r="E1655" s="11"/>
      <c r="F1655" s="10">
        <f t="shared" si="338"/>
        <v>0</v>
      </c>
      <c r="G1655" s="46">
        <f t="shared" si="339"/>
        <v>0</v>
      </c>
      <c r="I1655" s="110"/>
    </row>
    <row r="1656" spans="1:9" ht="16.350000000000001" customHeight="1">
      <c r="A1656" s="45">
        <v>5</v>
      </c>
      <c r="B1656" s="120" t="s">
        <v>498</v>
      </c>
      <c r="C1656" s="120" t="s">
        <v>84</v>
      </c>
      <c r="D1656" s="33"/>
      <c r="E1656" s="11"/>
      <c r="F1656" s="10">
        <f t="shared" si="338"/>
        <v>0</v>
      </c>
      <c r="G1656" s="46">
        <f t="shared" si="339"/>
        <v>0</v>
      </c>
      <c r="I1656" s="110"/>
    </row>
    <row r="1657" spans="1:9" ht="16.350000000000001" customHeight="1">
      <c r="A1657" s="45">
        <v>6</v>
      </c>
      <c r="B1657" s="134" t="s">
        <v>700</v>
      </c>
      <c r="C1657" s="120" t="s">
        <v>877</v>
      </c>
      <c r="D1657" s="9"/>
      <c r="E1657" s="11"/>
      <c r="F1657" s="10">
        <f t="shared" si="338"/>
        <v>0</v>
      </c>
      <c r="G1657" s="46">
        <f t="shared" si="339"/>
        <v>0</v>
      </c>
      <c r="I1657" s="110"/>
    </row>
    <row r="1658" spans="1:9" ht="16.350000000000001" customHeight="1">
      <c r="A1658" s="47" t="s">
        <v>878</v>
      </c>
      <c r="B1658" s="5"/>
      <c r="C1658" s="6"/>
      <c r="G1658" s="48"/>
      <c r="I1658" s="110"/>
    </row>
    <row r="1659" spans="1:9" ht="16.350000000000001" customHeight="1">
      <c r="A1659" s="43" t="s">
        <v>0</v>
      </c>
      <c r="B1659" s="7" t="s">
        <v>1</v>
      </c>
      <c r="C1659" s="8" t="s">
        <v>4</v>
      </c>
      <c r="D1659" s="7" t="s">
        <v>2</v>
      </c>
      <c r="E1659" s="7" t="s">
        <v>6</v>
      </c>
      <c r="F1659" s="128" t="s">
        <v>7</v>
      </c>
      <c r="G1659" s="129" t="s">
        <v>8</v>
      </c>
      <c r="I1659" s="110"/>
    </row>
    <row r="1660" spans="1:9" ht="16.350000000000001" customHeight="1">
      <c r="A1660" s="45">
        <v>1</v>
      </c>
      <c r="B1660" s="134" t="s">
        <v>838</v>
      </c>
      <c r="C1660" s="126" t="s">
        <v>880</v>
      </c>
      <c r="D1660" s="9"/>
      <c r="E1660" s="11"/>
      <c r="F1660" s="130">
        <f>IF(E1660="",0,IF(E1660&gt;0,RANK(E1660,$E$1660:$E$1681,1)))</f>
        <v>0</v>
      </c>
      <c r="G1660" s="131">
        <f>VLOOKUP(F1660,$L$3:$M$33,2,0)</f>
        <v>0</v>
      </c>
      <c r="I1660" s="110"/>
    </row>
    <row r="1661" spans="1:9" ht="16.350000000000001" customHeight="1">
      <c r="A1661" s="45">
        <v>2</v>
      </c>
      <c r="B1661" s="126" t="s">
        <v>412</v>
      </c>
      <c r="C1661" s="126" t="s">
        <v>836</v>
      </c>
      <c r="D1661" s="9"/>
      <c r="E1661" s="11"/>
      <c r="F1661" s="130">
        <f t="shared" ref="F1661:F1665" si="340">IF(E1661="",0,IF(E1661&gt;0,RANK(E1661,$E$1660:$E$1681,1)))</f>
        <v>0</v>
      </c>
      <c r="G1661" s="131">
        <f t="shared" ref="G1661:G1665" si="341">VLOOKUP(F1661,$L$3:$M$33,2,0)</f>
        <v>0</v>
      </c>
      <c r="I1661" s="110"/>
    </row>
    <row r="1662" spans="1:9" ht="16.350000000000001" customHeight="1">
      <c r="A1662" s="45">
        <v>3</v>
      </c>
      <c r="B1662" s="126" t="s">
        <v>414</v>
      </c>
      <c r="C1662" s="126" t="s">
        <v>881</v>
      </c>
      <c r="D1662" s="9"/>
      <c r="E1662" s="11"/>
      <c r="F1662" s="130">
        <f t="shared" si="340"/>
        <v>0</v>
      </c>
      <c r="G1662" s="131">
        <f t="shared" si="341"/>
        <v>0</v>
      </c>
      <c r="I1662" s="110"/>
    </row>
    <row r="1663" spans="1:9" ht="16.350000000000001" customHeight="1">
      <c r="A1663" s="45">
        <v>4</v>
      </c>
      <c r="B1663" s="120" t="s">
        <v>840</v>
      </c>
      <c r="C1663" s="120" t="s">
        <v>64</v>
      </c>
      <c r="D1663" s="9"/>
      <c r="E1663" s="11"/>
      <c r="F1663" s="130">
        <f t="shared" si="340"/>
        <v>0</v>
      </c>
      <c r="G1663" s="131">
        <f t="shared" si="341"/>
        <v>0</v>
      </c>
      <c r="I1663" s="110"/>
    </row>
    <row r="1664" spans="1:9" ht="16.350000000000001" customHeight="1">
      <c r="A1664" s="45">
        <v>5</v>
      </c>
      <c r="B1664" s="127" t="s">
        <v>799</v>
      </c>
      <c r="C1664" s="120" t="s">
        <v>64</v>
      </c>
      <c r="D1664" s="9"/>
      <c r="E1664" s="11"/>
      <c r="F1664" s="130">
        <f t="shared" si="340"/>
        <v>0</v>
      </c>
      <c r="G1664" s="131">
        <f t="shared" si="341"/>
        <v>0</v>
      </c>
      <c r="I1664" s="110"/>
    </row>
    <row r="1665" spans="1:9" ht="16.350000000000001" customHeight="1">
      <c r="A1665" s="45">
        <v>6</v>
      </c>
      <c r="B1665" s="127" t="s">
        <v>800</v>
      </c>
      <c r="C1665" s="120" t="s">
        <v>64</v>
      </c>
      <c r="D1665" s="9"/>
      <c r="E1665" s="11"/>
      <c r="F1665" s="130">
        <f t="shared" si="340"/>
        <v>0</v>
      </c>
      <c r="G1665" s="131">
        <f t="shared" si="341"/>
        <v>0</v>
      </c>
      <c r="I1665" s="110"/>
    </row>
    <row r="1666" spans="1:9" ht="16.350000000000001" customHeight="1">
      <c r="A1666" s="47" t="s">
        <v>879</v>
      </c>
      <c r="B1666" s="5"/>
      <c r="C1666" s="6"/>
      <c r="F1666" s="133"/>
      <c r="G1666" s="132"/>
      <c r="I1666" s="110"/>
    </row>
    <row r="1667" spans="1:9" ht="16.350000000000001" customHeight="1">
      <c r="A1667" s="43" t="s">
        <v>0</v>
      </c>
      <c r="B1667" s="7" t="s">
        <v>1</v>
      </c>
      <c r="C1667" s="8" t="s">
        <v>4</v>
      </c>
      <c r="D1667" s="7" t="s">
        <v>2</v>
      </c>
      <c r="E1667" s="7" t="s">
        <v>6</v>
      </c>
      <c r="F1667" s="128" t="s">
        <v>7</v>
      </c>
      <c r="G1667" s="129" t="s">
        <v>8</v>
      </c>
      <c r="I1667" s="110"/>
    </row>
    <row r="1668" spans="1:9" ht="16.350000000000001" customHeight="1">
      <c r="A1668" s="45">
        <v>1</v>
      </c>
      <c r="B1668" s="120" t="s">
        <v>703</v>
      </c>
      <c r="C1668" s="120" t="s">
        <v>60</v>
      </c>
      <c r="D1668" s="9"/>
      <c r="E1668" s="11"/>
      <c r="F1668" s="130">
        <f>IF(E1668="",0,IF(E1668&gt;0,RANK(E1668,$E$1660:$E$1681,1)))</f>
        <v>0</v>
      </c>
      <c r="G1668" s="131">
        <f>VLOOKUP(F1668,$L$3:$M$33,2,0)</f>
        <v>0</v>
      </c>
      <c r="I1668" s="110"/>
    </row>
    <row r="1669" spans="1:9" ht="16.350000000000001" customHeight="1">
      <c r="A1669" s="45">
        <v>2</v>
      </c>
      <c r="B1669" s="120" t="s">
        <v>704</v>
      </c>
      <c r="C1669" s="120" t="s">
        <v>98</v>
      </c>
      <c r="D1669" s="9"/>
      <c r="E1669" s="11"/>
      <c r="F1669" s="130">
        <f t="shared" ref="F1669:F1673" si="342">IF(E1669="",0,IF(E1669&gt;0,RANK(E1669,$E$1660:$E$1681,1)))</f>
        <v>0</v>
      </c>
      <c r="G1669" s="131">
        <f t="shared" ref="G1669:G1673" si="343">VLOOKUP(F1669,$L$3:$M$33,2,0)</f>
        <v>0</v>
      </c>
      <c r="I1669" s="110"/>
    </row>
    <row r="1670" spans="1:9" ht="16.350000000000001" customHeight="1">
      <c r="A1670" s="45">
        <v>3</v>
      </c>
      <c r="B1670" s="127" t="s">
        <v>843</v>
      </c>
      <c r="C1670" s="120" t="s">
        <v>14</v>
      </c>
      <c r="D1670" s="3"/>
      <c r="E1670" s="11"/>
      <c r="F1670" s="130">
        <f t="shared" si="342"/>
        <v>0</v>
      </c>
      <c r="G1670" s="131">
        <f t="shared" si="343"/>
        <v>0</v>
      </c>
      <c r="I1670" s="110"/>
    </row>
    <row r="1671" spans="1:9" ht="16.350000000000001" customHeight="1">
      <c r="A1671" s="45">
        <v>4</v>
      </c>
      <c r="B1671" s="120" t="s">
        <v>844</v>
      </c>
      <c r="C1671" s="120" t="s">
        <v>14</v>
      </c>
      <c r="D1671" s="9"/>
      <c r="E1671" s="11"/>
      <c r="F1671" s="130">
        <f t="shared" si="342"/>
        <v>0</v>
      </c>
      <c r="G1671" s="131">
        <f t="shared" si="343"/>
        <v>0</v>
      </c>
      <c r="I1671" s="110"/>
    </row>
    <row r="1672" spans="1:9" ht="16.350000000000001" customHeight="1">
      <c r="A1672" s="45">
        <v>5</v>
      </c>
      <c r="B1672" s="120" t="s">
        <v>511</v>
      </c>
      <c r="C1672" s="120" t="s">
        <v>465</v>
      </c>
      <c r="D1672" s="9"/>
      <c r="E1672" s="11"/>
      <c r="F1672" s="130">
        <f t="shared" si="342"/>
        <v>0</v>
      </c>
      <c r="G1672" s="131">
        <f t="shared" si="343"/>
        <v>0</v>
      </c>
      <c r="I1672" s="110"/>
    </row>
    <row r="1673" spans="1:9" ht="16.350000000000001" customHeight="1">
      <c r="A1673" s="45">
        <v>6</v>
      </c>
      <c r="B1673" s="74"/>
      <c r="C1673" s="74"/>
      <c r="D1673" s="9"/>
      <c r="E1673" s="11"/>
      <c r="F1673" s="130">
        <f t="shared" si="342"/>
        <v>0</v>
      </c>
      <c r="G1673" s="131">
        <f t="shared" si="343"/>
        <v>0</v>
      </c>
      <c r="I1673" s="110"/>
    </row>
    <row r="1674" spans="1:9" ht="16.350000000000001" customHeight="1">
      <c r="A1674" s="47" t="s">
        <v>882</v>
      </c>
      <c r="B1674" s="5"/>
      <c r="C1674" s="6"/>
      <c r="F1674" s="133"/>
      <c r="G1674" s="132"/>
    </row>
    <row r="1675" spans="1:9" ht="16.350000000000001" customHeight="1">
      <c r="A1675" s="43" t="s">
        <v>0</v>
      </c>
      <c r="B1675" s="7" t="s">
        <v>1</v>
      </c>
      <c r="C1675" s="8" t="s">
        <v>4</v>
      </c>
      <c r="D1675" s="7" t="s">
        <v>2</v>
      </c>
      <c r="E1675" s="7" t="s">
        <v>6</v>
      </c>
      <c r="F1675" s="128" t="s">
        <v>7</v>
      </c>
      <c r="G1675" s="129" t="s">
        <v>8</v>
      </c>
    </row>
    <row r="1676" spans="1:9" ht="16.350000000000001" customHeight="1">
      <c r="A1676" s="45">
        <v>1</v>
      </c>
      <c r="B1676" s="85"/>
      <c r="C1676" s="85"/>
      <c r="D1676" s="9"/>
      <c r="E1676" s="9"/>
      <c r="F1676" s="130">
        <f>IF(E1676="",0,IF(E1676&gt;0,RANK(E1676,E1660:E1681,1)))</f>
        <v>0</v>
      </c>
      <c r="G1676" s="131">
        <f>VLOOKUP(F1676,$L$3:$M$33,2,0)</f>
        <v>0</v>
      </c>
    </row>
    <row r="1677" spans="1:9" ht="16.350000000000001" customHeight="1">
      <c r="A1677" s="45">
        <v>2</v>
      </c>
      <c r="B1677" s="120" t="s">
        <v>512</v>
      </c>
      <c r="C1677" s="120" t="s">
        <v>465</v>
      </c>
      <c r="D1677" s="9"/>
      <c r="E1677" s="9"/>
      <c r="F1677" s="130">
        <f>IF(E1677="",0,IF(E1677&gt;0,RANK(E1677,E1660:E1681,1)))</f>
        <v>0</v>
      </c>
      <c r="G1677" s="131">
        <f t="shared" ref="G1677:G1681" si="344">VLOOKUP(F1677,$L$3:$M$33,2,0)</f>
        <v>0</v>
      </c>
    </row>
    <row r="1678" spans="1:9" ht="16.350000000000001" customHeight="1">
      <c r="A1678" s="45">
        <v>3</v>
      </c>
      <c r="B1678" s="120" t="s">
        <v>705</v>
      </c>
      <c r="C1678" s="120" t="s">
        <v>84</v>
      </c>
      <c r="D1678" s="9"/>
      <c r="E1678" s="9"/>
      <c r="F1678" s="130">
        <f>IF(E1678="",0,IF(E1678&gt;0,RANK(E1678,E1660:E1681,1)))</f>
        <v>0</v>
      </c>
      <c r="G1678" s="131">
        <f t="shared" si="344"/>
        <v>0</v>
      </c>
    </row>
    <row r="1679" spans="1:9" ht="16.350000000000001" customHeight="1">
      <c r="A1679" s="45">
        <v>4</v>
      </c>
      <c r="B1679" s="120" t="s">
        <v>846</v>
      </c>
      <c r="C1679" s="120" t="s">
        <v>13</v>
      </c>
      <c r="D1679" s="3"/>
      <c r="E1679" s="9"/>
      <c r="F1679" s="130">
        <f>IF(E1679="",0,IF(E1679&gt;0,RANK(E1679,E1660:E1681,1)))</f>
        <v>0</v>
      </c>
      <c r="G1679" s="131">
        <f t="shared" si="344"/>
        <v>0</v>
      </c>
    </row>
    <row r="1680" spans="1:9" ht="16.350000000000001" customHeight="1">
      <c r="A1680" s="45">
        <v>5</v>
      </c>
      <c r="B1680" s="120" t="s">
        <v>631</v>
      </c>
      <c r="C1680" s="120" t="s">
        <v>13</v>
      </c>
      <c r="D1680" s="9"/>
      <c r="E1680" s="9"/>
      <c r="F1680" s="130">
        <f>IF(E1680="",0,IF(E1680&gt;0,RANK(E1680,E1660:E1681,1)))</f>
        <v>0</v>
      </c>
      <c r="G1680" s="131">
        <f t="shared" si="344"/>
        <v>0</v>
      </c>
    </row>
    <row r="1681" spans="1:9" ht="16.350000000000001" customHeight="1">
      <c r="A1681" s="45">
        <v>6</v>
      </c>
      <c r="B1681" s="85"/>
      <c r="C1681" s="85"/>
      <c r="D1681" s="9"/>
      <c r="E1681" s="9"/>
      <c r="F1681" s="130">
        <f>IF(E1681="",0,IF(E1681&gt;0,RANK(E1681,E1660:E1681,1)))</f>
        <v>0</v>
      </c>
      <c r="G1681" s="131">
        <f t="shared" si="344"/>
        <v>0</v>
      </c>
    </row>
    <row r="1682" spans="1:9" ht="16.350000000000001" customHeight="1">
      <c r="A1682" s="47" t="s">
        <v>883</v>
      </c>
      <c r="B1682" s="5"/>
      <c r="C1682" s="4"/>
      <c r="D1682" s="14"/>
      <c r="E1682" s="14"/>
      <c r="F1682" s="14"/>
      <c r="G1682" s="53"/>
    </row>
    <row r="1683" spans="1:9" ht="16.350000000000001" customHeight="1">
      <c r="A1683" s="43" t="s">
        <v>0</v>
      </c>
      <c r="B1683" s="7" t="s">
        <v>1</v>
      </c>
      <c r="C1683" s="8" t="s">
        <v>4</v>
      </c>
      <c r="D1683" s="39" t="s">
        <v>2</v>
      </c>
      <c r="E1683" s="39" t="s">
        <v>6</v>
      </c>
      <c r="F1683" s="160" t="s">
        <v>7</v>
      </c>
      <c r="G1683" s="161" t="s">
        <v>8</v>
      </c>
      <c r="I1683" s="110"/>
    </row>
    <row r="1684" spans="1:9" ht="16.350000000000001" customHeight="1">
      <c r="A1684" s="45">
        <v>1</v>
      </c>
      <c r="B1684" s="126" t="s">
        <v>713</v>
      </c>
      <c r="C1684" s="126" t="s">
        <v>850</v>
      </c>
      <c r="D1684" s="42"/>
      <c r="E1684" s="113"/>
      <c r="F1684" s="130">
        <f>IF(E1684="",0,IF(E1684&gt;0,RANK(E1684,$E$1684:$E$1705,1)))</f>
        <v>0</v>
      </c>
      <c r="G1684" s="131">
        <f>VLOOKUP(F1684,$L$3:$M$33,2,0)</f>
        <v>0</v>
      </c>
      <c r="I1684" s="110"/>
    </row>
    <row r="1685" spans="1:9" ht="16.350000000000001" customHeight="1">
      <c r="A1685" s="45">
        <v>2</v>
      </c>
      <c r="B1685" s="126" t="s">
        <v>884</v>
      </c>
      <c r="C1685" s="126" t="s">
        <v>850</v>
      </c>
      <c r="D1685" s="42"/>
      <c r="E1685" s="41"/>
      <c r="F1685" s="130">
        <f t="shared" ref="F1685:F1689" si="345">IF(E1685="",0,IF(E1685&gt;0,RANK(E1685,$E$1684:$E$1705,1)))</f>
        <v>0</v>
      </c>
      <c r="G1685" s="131">
        <f t="shared" ref="G1685:G1689" si="346">VLOOKUP(F1685,$L$3:$M$33,2,0)</f>
        <v>0</v>
      </c>
      <c r="I1685" s="110"/>
    </row>
    <row r="1686" spans="1:9" ht="16.350000000000001" customHeight="1">
      <c r="A1686" s="45">
        <v>3</v>
      </c>
      <c r="B1686" s="127" t="s">
        <v>636</v>
      </c>
      <c r="C1686" s="120" t="s">
        <v>405</v>
      </c>
      <c r="D1686" s="42"/>
      <c r="E1686" s="41"/>
      <c r="F1686" s="130">
        <f t="shared" si="345"/>
        <v>0</v>
      </c>
      <c r="G1686" s="131">
        <f t="shared" si="346"/>
        <v>0</v>
      </c>
      <c r="I1686" s="110"/>
    </row>
    <row r="1687" spans="1:9" ht="16.350000000000001" customHeight="1">
      <c r="A1687" s="45">
        <v>4</v>
      </c>
      <c r="B1687" s="127" t="s">
        <v>520</v>
      </c>
      <c r="C1687" s="120" t="s">
        <v>14</v>
      </c>
      <c r="D1687" s="42"/>
      <c r="E1687" s="41"/>
      <c r="F1687" s="130">
        <f t="shared" si="345"/>
        <v>0</v>
      </c>
      <c r="G1687" s="131">
        <f t="shared" si="346"/>
        <v>0</v>
      </c>
      <c r="I1687" s="110"/>
    </row>
    <row r="1688" spans="1:9" ht="16.350000000000001" customHeight="1">
      <c r="A1688" s="45">
        <v>5</v>
      </c>
      <c r="B1688" s="120" t="s">
        <v>521</v>
      </c>
      <c r="C1688" s="120" t="s">
        <v>14</v>
      </c>
      <c r="D1688" s="42"/>
      <c r="E1688" s="41"/>
      <c r="F1688" s="130">
        <f t="shared" si="345"/>
        <v>0</v>
      </c>
      <c r="G1688" s="131">
        <f t="shared" si="346"/>
        <v>0</v>
      </c>
      <c r="I1688" s="110"/>
    </row>
    <row r="1689" spans="1:9" ht="16.350000000000001" customHeight="1">
      <c r="A1689" s="45">
        <v>6</v>
      </c>
      <c r="B1689" s="127" t="s">
        <v>522</v>
      </c>
      <c r="C1689" s="120" t="s">
        <v>14</v>
      </c>
      <c r="D1689" s="40"/>
      <c r="E1689" s="41"/>
      <c r="F1689" s="130">
        <f t="shared" si="345"/>
        <v>0</v>
      </c>
      <c r="G1689" s="131">
        <f t="shared" si="346"/>
        <v>0</v>
      </c>
      <c r="I1689" s="110"/>
    </row>
    <row r="1690" spans="1:9" ht="16.350000000000001" customHeight="1">
      <c r="A1690" s="47" t="s">
        <v>885</v>
      </c>
      <c r="B1690" s="5"/>
      <c r="C1690" s="4"/>
      <c r="D1690" s="14"/>
      <c r="E1690" s="14"/>
      <c r="F1690" s="144"/>
      <c r="G1690" s="145"/>
      <c r="I1690" s="110"/>
    </row>
    <row r="1691" spans="1:9" ht="16.350000000000001" customHeight="1">
      <c r="A1691" s="43" t="s">
        <v>0</v>
      </c>
      <c r="B1691" s="7" t="s">
        <v>1</v>
      </c>
      <c r="C1691" s="8" t="s">
        <v>4</v>
      </c>
      <c r="D1691" s="39" t="s">
        <v>2</v>
      </c>
      <c r="E1691" s="39" t="s">
        <v>6</v>
      </c>
      <c r="F1691" s="160" t="s">
        <v>7</v>
      </c>
      <c r="G1691" s="161" t="s">
        <v>8</v>
      </c>
      <c r="I1691" s="110"/>
    </row>
    <row r="1692" spans="1:9" ht="16.350000000000001" customHeight="1">
      <c r="A1692" s="45">
        <v>1</v>
      </c>
      <c r="B1692" s="127" t="s">
        <v>425</v>
      </c>
      <c r="C1692" s="120" t="s">
        <v>73</v>
      </c>
      <c r="D1692" s="42"/>
      <c r="E1692" s="113"/>
      <c r="F1692" s="130">
        <f>IF(E1692="",0,IF(E1692&gt;0,RANK(E1692,$E$1684:$E$1705,1)))</f>
        <v>0</v>
      </c>
      <c r="G1692" s="131">
        <f>VLOOKUP(F1692,$L$3:$M$33,2,0)</f>
        <v>0</v>
      </c>
      <c r="I1692" s="110"/>
    </row>
    <row r="1693" spans="1:9" ht="16.350000000000001" customHeight="1">
      <c r="A1693" s="45">
        <v>2</v>
      </c>
      <c r="B1693" s="120" t="s">
        <v>714</v>
      </c>
      <c r="C1693" s="120" t="s">
        <v>275</v>
      </c>
      <c r="D1693" s="42"/>
      <c r="E1693" s="41"/>
      <c r="F1693" s="130">
        <f t="shared" ref="F1693:F1697" si="347">IF(E1693="",0,IF(E1693&gt;0,RANK(E1693,$E$1684:$E$1705,1)))</f>
        <v>0</v>
      </c>
      <c r="G1693" s="131">
        <f t="shared" ref="G1693:G1697" si="348">VLOOKUP(F1693,$L$3:$M$33,2,0)</f>
        <v>0</v>
      </c>
      <c r="I1693" s="110"/>
    </row>
    <row r="1694" spans="1:9" ht="16.350000000000001" customHeight="1">
      <c r="A1694" s="45">
        <v>3</v>
      </c>
      <c r="B1694" s="120" t="s">
        <v>802</v>
      </c>
      <c r="C1694" s="120" t="s">
        <v>577</v>
      </c>
      <c r="D1694" s="42"/>
      <c r="E1694" s="41"/>
      <c r="F1694" s="130">
        <f t="shared" si="347"/>
        <v>0</v>
      </c>
      <c r="G1694" s="131">
        <f t="shared" si="348"/>
        <v>0</v>
      </c>
      <c r="I1694" s="110"/>
    </row>
    <row r="1695" spans="1:9" ht="16.350000000000001" customHeight="1">
      <c r="A1695" s="45">
        <v>4</v>
      </c>
      <c r="B1695" s="120" t="s">
        <v>523</v>
      </c>
      <c r="C1695" s="120" t="s">
        <v>84</v>
      </c>
      <c r="D1695" s="42"/>
      <c r="E1695" s="41"/>
      <c r="F1695" s="130">
        <f t="shared" si="347"/>
        <v>0</v>
      </c>
      <c r="G1695" s="131">
        <f t="shared" si="348"/>
        <v>0</v>
      </c>
      <c r="I1695" s="110"/>
    </row>
    <row r="1696" spans="1:9" ht="16.350000000000001" customHeight="1">
      <c r="A1696" s="45">
        <v>5</v>
      </c>
      <c r="B1696" s="120" t="s">
        <v>715</v>
      </c>
      <c r="C1696" s="120" t="s">
        <v>84</v>
      </c>
      <c r="D1696" s="42"/>
      <c r="E1696" s="41"/>
      <c r="F1696" s="130">
        <f t="shared" si="347"/>
        <v>0</v>
      </c>
      <c r="G1696" s="131">
        <f t="shared" si="348"/>
        <v>0</v>
      </c>
      <c r="I1696" s="110"/>
    </row>
    <row r="1697" spans="1:9" ht="16.350000000000001" customHeight="1">
      <c r="A1697" s="45">
        <v>6</v>
      </c>
      <c r="B1697" s="120" t="s">
        <v>637</v>
      </c>
      <c r="C1697" s="120" t="s">
        <v>84</v>
      </c>
      <c r="D1697" s="40"/>
      <c r="E1697" s="41"/>
      <c r="F1697" s="130">
        <f t="shared" si="347"/>
        <v>0</v>
      </c>
      <c r="G1697" s="131">
        <f t="shared" si="348"/>
        <v>0</v>
      </c>
      <c r="I1697" s="110"/>
    </row>
    <row r="1698" spans="1:9" ht="16.350000000000001" customHeight="1">
      <c r="A1698" s="47" t="s">
        <v>886</v>
      </c>
      <c r="B1698" s="5"/>
      <c r="C1698" s="4"/>
      <c r="D1698" s="14"/>
      <c r="E1698" s="14"/>
      <c r="F1698" s="144"/>
      <c r="G1698" s="145"/>
    </row>
    <row r="1699" spans="1:9" ht="16.350000000000001" customHeight="1">
      <c r="A1699" s="43" t="s">
        <v>0</v>
      </c>
      <c r="B1699" s="7" t="s">
        <v>1</v>
      </c>
      <c r="C1699" s="8" t="s">
        <v>4</v>
      </c>
      <c r="D1699" s="39" t="s">
        <v>2</v>
      </c>
      <c r="E1699" s="39" t="s">
        <v>6</v>
      </c>
      <c r="F1699" s="160" t="s">
        <v>7</v>
      </c>
      <c r="G1699" s="161" t="s">
        <v>8</v>
      </c>
    </row>
    <row r="1700" spans="1:9" ht="16.350000000000001" customHeight="1">
      <c r="A1700" s="45">
        <v>1</v>
      </c>
      <c r="B1700" s="120" t="s">
        <v>426</v>
      </c>
      <c r="C1700" s="120" t="s">
        <v>887</v>
      </c>
      <c r="D1700" s="42"/>
      <c r="E1700" s="113"/>
      <c r="F1700" s="130">
        <f>IF(E1700="",0,IF(E1700&gt;0,RANK(E1700,E1684:E1705,1)))</f>
        <v>0</v>
      </c>
      <c r="G1700" s="131">
        <f>VLOOKUP(F1700,$L$3:$M$33,2,0)</f>
        <v>0</v>
      </c>
    </row>
    <row r="1701" spans="1:9" ht="16.350000000000001" customHeight="1">
      <c r="A1701" s="45">
        <v>2</v>
      </c>
      <c r="B1701" s="120" t="s">
        <v>428</v>
      </c>
      <c r="C1701" s="120" t="s">
        <v>13</v>
      </c>
      <c r="D1701" s="42"/>
      <c r="E1701" s="41"/>
      <c r="F1701" s="130">
        <f>IF(E1701="",0,IF(E1701&gt;0,RANK(E1701,E1684:E1705,1)))</f>
        <v>0</v>
      </c>
      <c r="G1701" s="131">
        <f t="shared" ref="G1701:G1705" si="349">VLOOKUP(F1701,$L$3:$M$33,2,0)</f>
        <v>0</v>
      </c>
    </row>
    <row r="1702" spans="1:9" ht="16.350000000000001" customHeight="1">
      <c r="A1702" s="45">
        <v>3</v>
      </c>
      <c r="B1702" s="120" t="s">
        <v>848</v>
      </c>
      <c r="C1702" s="120" t="s">
        <v>13</v>
      </c>
      <c r="D1702" s="42"/>
      <c r="E1702" s="41"/>
      <c r="F1702" s="130">
        <f>IF(E1702="",0,IF(E1702&gt;0,RANK(E1702,E1684:E1705,1)))</f>
        <v>0</v>
      </c>
      <c r="G1702" s="131">
        <f t="shared" si="349"/>
        <v>0</v>
      </c>
    </row>
    <row r="1703" spans="1:9" ht="16.350000000000001" customHeight="1">
      <c r="A1703" s="45">
        <v>4</v>
      </c>
      <c r="B1703" s="120" t="s">
        <v>429</v>
      </c>
      <c r="C1703" s="120" t="s">
        <v>13</v>
      </c>
      <c r="D1703" s="42"/>
      <c r="E1703" s="41"/>
      <c r="F1703" s="130">
        <f>IF(E1703="",0,IF(E1703&gt;0,RANK(E1703,E1684:E1705,1)))</f>
        <v>0</v>
      </c>
      <c r="G1703" s="131">
        <f t="shared" si="349"/>
        <v>0</v>
      </c>
    </row>
    <row r="1704" spans="1:9" ht="16.350000000000001" customHeight="1">
      <c r="A1704" s="45">
        <v>5</v>
      </c>
      <c r="B1704" s="120" t="s">
        <v>524</v>
      </c>
      <c r="C1704" s="120" t="s">
        <v>88</v>
      </c>
      <c r="D1704" s="42"/>
      <c r="E1704" s="41"/>
      <c r="F1704" s="130">
        <f>IF(E1704="",0,IF(E1704&gt;0,RANK(E1704,E1684:E1705,1)))</f>
        <v>0</v>
      </c>
      <c r="G1704" s="131">
        <f t="shared" si="349"/>
        <v>0</v>
      </c>
    </row>
    <row r="1705" spans="1:9" ht="16.350000000000001" customHeight="1">
      <c r="A1705" s="45">
        <v>6</v>
      </c>
      <c r="B1705" s="120" t="s">
        <v>803</v>
      </c>
      <c r="C1705" s="120" t="s">
        <v>401</v>
      </c>
      <c r="D1705" s="40"/>
      <c r="E1705" s="41"/>
      <c r="F1705" s="130">
        <f>IF(E1705="",0,IF(E1705&gt;0,RANK(E1705,E1684:E1705,1)))</f>
        <v>0</v>
      </c>
      <c r="G1705" s="131">
        <f t="shared" si="349"/>
        <v>0</v>
      </c>
    </row>
    <row r="1706" spans="1:9" s="13" customFormat="1" ht="16.350000000000001" customHeight="1">
      <c r="A1706" s="47" t="s">
        <v>888</v>
      </c>
      <c r="B1706" s="5"/>
      <c r="C1706" s="5"/>
      <c r="D1706" s="16"/>
      <c r="E1706" s="16"/>
      <c r="F1706" s="16"/>
      <c r="G1706" s="52"/>
    </row>
    <row r="1707" spans="1:9" ht="16.350000000000001" customHeight="1">
      <c r="A1707" s="43" t="s">
        <v>0</v>
      </c>
      <c r="B1707" s="7" t="s">
        <v>1</v>
      </c>
      <c r="C1707" s="8" t="s">
        <v>4</v>
      </c>
      <c r="D1707" s="7" t="s">
        <v>2</v>
      </c>
      <c r="E1707" s="7" t="s">
        <v>6</v>
      </c>
      <c r="F1707" s="128" t="s">
        <v>7</v>
      </c>
      <c r="G1707" s="129" t="s">
        <v>8</v>
      </c>
      <c r="I1707" s="110"/>
    </row>
    <row r="1708" spans="1:9" ht="16.350000000000001" customHeight="1">
      <c r="A1708" s="45">
        <v>1</v>
      </c>
      <c r="B1708" s="120" t="s">
        <v>533</v>
      </c>
      <c r="C1708" s="120" t="s">
        <v>836</v>
      </c>
      <c r="D1708" s="9"/>
      <c r="E1708" s="9"/>
      <c r="F1708" s="130">
        <f t="shared" ref="F1708:F1713" si="350">IF(E1708="",0,IF(E1708&gt;0,RANK(E1708,$E$1708:$E$1729,1)))</f>
        <v>0</v>
      </c>
      <c r="G1708" s="131">
        <f>VLOOKUP(F1708,$L$3:$M$33,2,0)</f>
        <v>0</v>
      </c>
      <c r="I1708" s="110"/>
    </row>
    <row r="1709" spans="1:9" ht="16.350000000000001" customHeight="1">
      <c r="A1709" s="45">
        <v>2</v>
      </c>
      <c r="B1709" s="120" t="s">
        <v>727</v>
      </c>
      <c r="C1709" s="120" t="s">
        <v>870</v>
      </c>
      <c r="D1709" s="3"/>
      <c r="E1709" s="9"/>
      <c r="F1709" s="130">
        <f t="shared" si="350"/>
        <v>0</v>
      </c>
      <c r="G1709" s="131">
        <f t="shared" ref="G1709:G1713" si="351">VLOOKUP(F1709,$L$3:$M$33,2,0)</f>
        <v>0</v>
      </c>
      <c r="I1709" s="110"/>
    </row>
    <row r="1710" spans="1:9" ht="16.350000000000001" customHeight="1">
      <c r="A1710" s="45">
        <v>3</v>
      </c>
      <c r="B1710" s="120" t="s">
        <v>728</v>
      </c>
      <c r="C1710" s="120" t="s">
        <v>84</v>
      </c>
      <c r="D1710" s="9"/>
      <c r="E1710" s="9"/>
      <c r="F1710" s="130">
        <f t="shared" si="350"/>
        <v>0</v>
      </c>
      <c r="G1710" s="131">
        <f t="shared" si="351"/>
        <v>0</v>
      </c>
      <c r="I1710" s="110"/>
    </row>
    <row r="1711" spans="1:9" ht="16.350000000000001" customHeight="1">
      <c r="A1711" s="45">
        <v>4</v>
      </c>
      <c r="B1711" s="120" t="s">
        <v>854</v>
      </c>
      <c r="C1711" s="120" t="s">
        <v>13</v>
      </c>
      <c r="D1711" s="9"/>
      <c r="E1711" s="9"/>
      <c r="F1711" s="130">
        <f t="shared" si="350"/>
        <v>0</v>
      </c>
      <c r="G1711" s="131">
        <f t="shared" si="351"/>
        <v>0</v>
      </c>
      <c r="I1711" s="110"/>
    </row>
    <row r="1712" spans="1:9" ht="16.350000000000001" customHeight="1">
      <c r="A1712" s="45">
        <v>5</v>
      </c>
      <c r="B1712" s="134" t="s">
        <v>855</v>
      </c>
      <c r="C1712" s="120" t="s">
        <v>889</v>
      </c>
      <c r="D1712" s="9"/>
      <c r="E1712" s="9"/>
      <c r="F1712" s="130">
        <f t="shared" si="350"/>
        <v>0</v>
      </c>
      <c r="G1712" s="131">
        <f t="shared" si="351"/>
        <v>0</v>
      </c>
      <c r="I1712" s="110"/>
    </row>
    <row r="1713" spans="1:11" ht="16.350000000000001" customHeight="1">
      <c r="A1713" s="45">
        <v>6</v>
      </c>
      <c r="B1713" s="85"/>
      <c r="C1713" s="85"/>
      <c r="D1713" s="9"/>
      <c r="E1713" s="9"/>
      <c r="F1713" s="130">
        <f t="shared" si="350"/>
        <v>0</v>
      </c>
      <c r="G1713" s="131">
        <f t="shared" si="351"/>
        <v>0</v>
      </c>
      <c r="I1713" s="110"/>
    </row>
    <row r="1714" spans="1:11" s="13" customFormat="1" ht="16.350000000000001" customHeight="1">
      <c r="A1714" s="47" t="s">
        <v>890</v>
      </c>
      <c r="B1714" s="5"/>
      <c r="C1714" s="5"/>
      <c r="D1714" s="16"/>
      <c r="E1714" s="16"/>
      <c r="F1714" s="138"/>
      <c r="G1714" s="139"/>
      <c r="I1714" s="112"/>
    </row>
    <row r="1715" spans="1:11" ht="16.350000000000001" customHeight="1">
      <c r="A1715" s="43" t="s">
        <v>0</v>
      </c>
      <c r="B1715" s="7" t="s">
        <v>1</v>
      </c>
      <c r="C1715" s="8" t="s">
        <v>4</v>
      </c>
      <c r="D1715" s="7" t="s">
        <v>2</v>
      </c>
      <c r="E1715" s="7" t="s">
        <v>6</v>
      </c>
      <c r="F1715" s="128" t="s">
        <v>7</v>
      </c>
      <c r="G1715" s="129" t="s">
        <v>8</v>
      </c>
      <c r="I1715" s="110"/>
    </row>
    <row r="1716" spans="1:11" ht="16.350000000000001" customHeight="1">
      <c r="A1716" s="45">
        <v>1</v>
      </c>
      <c r="B1716" s="85"/>
      <c r="C1716" s="85"/>
      <c r="D1716" s="9"/>
      <c r="E1716" s="9"/>
      <c r="F1716" s="130">
        <f t="shared" ref="F1716:F1721" si="352">IF(E1716="",0,IF(E1716&gt;0,RANK(E1716,$E$1708:$E$1729,1)))</f>
        <v>0</v>
      </c>
      <c r="G1716" s="131">
        <f>VLOOKUP(F1716,$L$3:$M$33,2,0)</f>
        <v>0</v>
      </c>
      <c r="I1716" s="110"/>
    </row>
    <row r="1717" spans="1:11" ht="16.350000000000001" customHeight="1">
      <c r="A1717" s="45">
        <v>2</v>
      </c>
      <c r="B1717" s="120" t="s">
        <v>438</v>
      </c>
      <c r="C1717" s="120" t="s">
        <v>13</v>
      </c>
      <c r="D1717" s="9"/>
      <c r="E1717" s="9"/>
      <c r="F1717" s="130">
        <f t="shared" si="352"/>
        <v>0</v>
      </c>
      <c r="G1717" s="131">
        <f t="shared" ref="G1717:G1721" si="353">VLOOKUP(F1717,$L$3:$M$33,2,0)</f>
        <v>0</v>
      </c>
      <c r="I1717" s="110"/>
    </row>
    <row r="1718" spans="1:11" ht="16.350000000000001" customHeight="1">
      <c r="A1718" s="45">
        <v>3</v>
      </c>
      <c r="B1718" s="120" t="s">
        <v>892</v>
      </c>
      <c r="C1718" s="120" t="s">
        <v>13</v>
      </c>
      <c r="D1718" s="9"/>
      <c r="E1718" s="9"/>
      <c r="F1718" s="130">
        <f t="shared" si="352"/>
        <v>0</v>
      </c>
      <c r="G1718" s="131">
        <f t="shared" si="353"/>
        <v>0</v>
      </c>
      <c r="I1718" s="110"/>
    </row>
    <row r="1719" spans="1:11" ht="16.350000000000001" customHeight="1">
      <c r="A1719" s="45">
        <v>4</v>
      </c>
      <c r="B1719" s="126" t="s">
        <v>726</v>
      </c>
      <c r="C1719" s="126" t="s">
        <v>893</v>
      </c>
      <c r="D1719" s="9"/>
      <c r="E1719" s="9"/>
      <c r="F1719" s="130">
        <f t="shared" si="352"/>
        <v>0</v>
      </c>
      <c r="G1719" s="131">
        <f t="shared" si="353"/>
        <v>0</v>
      </c>
      <c r="I1719" s="110"/>
    </row>
    <row r="1720" spans="1:11" ht="16.350000000000001" customHeight="1">
      <c r="A1720" s="45">
        <v>5</v>
      </c>
      <c r="B1720" s="126" t="s">
        <v>894</v>
      </c>
      <c r="C1720" s="126" t="s">
        <v>836</v>
      </c>
      <c r="D1720" s="9"/>
      <c r="E1720" s="9"/>
      <c r="F1720" s="130">
        <f t="shared" si="352"/>
        <v>0</v>
      </c>
      <c r="G1720" s="131">
        <f t="shared" si="353"/>
        <v>0</v>
      </c>
      <c r="I1720" s="110"/>
    </row>
    <row r="1721" spans="1:11" ht="16.350000000000001" customHeight="1">
      <c r="A1721" s="45">
        <v>6</v>
      </c>
      <c r="B1721" s="85"/>
      <c r="C1721" s="85"/>
      <c r="D1721" s="9"/>
      <c r="E1721" s="9"/>
      <c r="F1721" s="130">
        <f t="shared" si="352"/>
        <v>0</v>
      </c>
      <c r="G1721" s="131">
        <f t="shared" si="353"/>
        <v>0</v>
      </c>
      <c r="I1721" s="110"/>
    </row>
    <row r="1722" spans="1:11" ht="16.350000000000001" customHeight="1">
      <c r="A1722" s="47" t="s">
        <v>891</v>
      </c>
      <c r="B1722" s="5"/>
      <c r="C1722" s="4"/>
      <c r="D1722" s="14"/>
      <c r="E1722" s="14"/>
      <c r="F1722" s="144"/>
      <c r="G1722" s="145"/>
      <c r="I1722" s="110"/>
    </row>
    <row r="1723" spans="1:11" ht="16.350000000000001" customHeight="1">
      <c r="A1723" s="43" t="s">
        <v>0</v>
      </c>
      <c r="B1723" s="7" t="s">
        <v>1</v>
      </c>
      <c r="C1723" s="8" t="s">
        <v>4</v>
      </c>
      <c r="D1723" s="7" t="s">
        <v>2</v>
      </c>
      <c r="E1723" s="7" t="s">
        <v>6</v>
      </c>
      <c r="F1723" s="128" t="s">
        <v>7</v>
      </c>
      <c r="G1723" s="129" t="s">
        <v>8</v>
      </c>
      <c r="I1723" s="110"/>
    </row>
    <row r="1724" spans="1:11" ht="16.350000000000001" customHeight="1">
      <c r="A1724" s="45">
        <v>1</v>
      </c>
      <c r="B1724" s="85"/>
      <c r="C1724" s="85"/>
      <c r="D1724" s="9"/>
      <c r="E1724" s="9"/>
      <c r="F1724" s="130">
        <f t="shared" ref="F1724:F1729" si="354">IF(E1724="",0,IF(E1724&gt;0,RANK(E1724,$E$1708:$E$1729,1)))</f>
        <v>0</v>
      </c>
      <c r="G1724" s="131">
        <f>VLOOKUP(F1724,$L$3:$M$33,2,0)</f>
        <v>0</v>
      </c>
      <c r="I1724" s="110"/>
    </row>
    <row r="1725" spans="1:11" ht="16.350000000000001" customHeight="1">
      <c r="A1725" s="45">
        <v>2</v>
      </c>
      <c r="B1725" s="120" t="s">
        <v>532</v>
      </c>
      <c r="C1725" s="120" t="s">
        <v>53</v>
      </c>
      <c r="D1725" s="9"/>
      <c r="E1725" s="9"/>
      <c r="F1725" s="130">
        <f t="shared" si="354"/>
        <v>0</v>
      </c>
      <c r="G1725" s="131">
        <f t="shared" ref="G1725:G1729" si="355">VLOOKUP(F1725,$L$3:$M$33,2,0)</f>
        <v>0</v>
      </c>
      <c r="H1725" s="31">
        <v>780428</v>
      </c>
      <c r="I1725" s="111"/>
      <c r="J1725" s="101"/>
      <c r="K1725" s="101"/>
    </row>
    <row r="1726" spans="1:11" ht="16.350000000000001" customHeight="1">
      <c r="A1726" s="45">
        <v>3</v>
      </c>
      <c r="B1726" s="120" t="s">
        <v>439</v>
      </c>
      <c r="C1726" s="120" t="s">
        <v>13</v>
      </c>
      <c r="D1726" s="9"/>
      <c r="E1726" s="9"/>
      <c r="F1726" s="130">
        <f t="shared" si="354"/>
        <v>0</v>
      </c>
      <c r="G1726" s="131">
        <f t="shared" si="355"/>
        <v>0</v>
      </c>
      <c r="H1726" s="31">
        <v>770803</v>
      </c>
      <c r="I1726" s="111"/>
      <c r="J1726" s="101"/>
      <c r="K1726" s="101"/>
    </row>
    <row r="1727" spans="1:11" ht="16.350000000000001" customHeight="1">
      <c r="A1727" s="45">
        <v>4</v>
      </c>
      <c r="B1727" s="120" t="s">
        <v>440</v>
      </c>
      <c r="C1727" s="120" t="s">
        <v>13</v>
      </c>
      <c r="D1727" s="9"/>
      <c r="E1727" s="9"/>
      <c r="F1727" s="130">
        <f t="shared" si="354"/>
        <v>0</v>
      </c>
      <c r="G1727" s="131">
        <f t="shared" si="355"/>
        <v>0</v>
      </c>
      <c r="H1727" s="31"/>
      <c r="I1727" s="111"/>
      <c r="J1727" s="101"/>
      <c r="K1727" s="101"/>
    </row>
    <row r="1728" spans="1:11" ht="16.350000000000001" customHeight="1">
      <c r="A1728" s="45">
        <v>5</v>
      </c>
      <c r="B1728" s="127" t="s">
        <v>856</v>
      </c>
      <c r="C1728" s="120" t="s">
        <v>401</v>
      </c>
      <c r="D1728" s="9"/>
      <c r="E1728" s="9"/>
      <c r="F1728" s="130">
        <f t="shared" si="354"/>
        <v>0</v>
      </c>
      <c r="G1728" s="131">
        <f t="shared" si="355"/>
        <v>0</v>
      </c>
      <c r="H1728" s="31"/>
      <c r="I1728" s="111"/>
      <c r="J1728" s="101"/>
      <c r="K1728" s="101"/>
    </row>
    <row r="1729" spans="1:11" ht="16.350000000000001" customHeight="1">
      <c r="A1729" s="45">
        <v>6</v>
      </c>
      <c r="B1729" s="90"/>
      <c r="C1729" s="23"/>
      <c r="D1729" s="9"/>
      <c r="E1729" s="9"/>
      <c r="F1729" s="130">
        <f t="shared" si="354"/>
        <v>0</v>
      </c>
      <c r="G1729" s="131">
        <f t="shared" si="355"/>
        <v>0</v>
      </c>
      <c r="I1729" s="110"/>
    </row>
    <row r="1730" spans="1:11" ht="16.350000000000001" customHeight="1">
      <c r="A1730" s="47" t="s">
        <v>895</v>
      </c>
      <c r="B1730" s="5"/>
      <c r="C1730" s="4"/>
      <c r="D1730" s="14"/>
      <c r="E1730" s="14"/>
      <c r="F1730" s="14"/>
      <c r="G1730" s="53"/>
    </row>
    <row r="1731" spans="1:11" ht="16.350000000000001" customHeight="1">
      <c r="A1731" s="43" t="s">
        <v>0</v>
      </c>
      <c r="B1731" s="7" t="s">
        <v>1</v>
      </c>
      <c r="C1731" s="8" t="s">
        <v>4</v>
      </c>
      <c r="D1731" s="7" t="s">
        <v>2</v>
      </c>
      <c r="E1731" s="7" t="s">
        <v>6</v>
      </c>
      <c r="F1731" s="7" t="s">
        <v>7</v>
      </c>
      <c r="G1731" s="44" t="s">
        <v>8</v>
      </c>
      <c r="I1731" s="110"/>
    </row>
    <row r="1732" spans="1:11" ht="16.350000000000001" customHeight="1">
      <c r="A1732" s="45">
        <v>1</v>
      </c>
      <c r="B1732" s="120" t="s">
        <v>644</v>
      </c>
      <c r="C1732" s="120" t="s">
        <v>201</v>
      </c>
      <c r="D1732" s="9"/>
      <c r="E1732" s="9"/>
      <c r="F1732" s="10">
        <f>IF(E1732="",0,IF(E1732&gt;0,RANK(E1732,$E$1732:$E$1737,1)))</f>
        <v>0</v>
      </c>
      <c r="G1732" s="46">
        <f>VLOOKUP(F1732,$L$3:$M$33,2,0)</f>
        <v>0</v>
      </c>
      <c r="I1732" s="110"/>
    </row>
    <row r="1733" spans="1:11" ht="16.350000000000001" customHeight="1">
      <c r="A1733" s="45">
        <v>2</v>
      </c>
      <c r="B1733" s="120" t="s">
        <v>538</v>
      </c>
      <c r="C1733" s="120" t="s">
        <v>13</v>
      </c>
      <c r="D1733" s="9"/>
      <c r="E1733" s="9"/>
      <c r="F1733" s="10">
        <f t="shared" ref="F1733:F1737" si="356">IF(E1733="",0,IF(E1733&gt;0,RANK(E1733,$E$1732:$E$1737,1)))</f>
        <v>0</v>
      </c>
      <c r="G1733" s="46">
        <f t="shared" ref="G1733:G1737" si="357">VLOOKUP(F1733,$L$3:$M$33,2,0)</f>
        <v>0</v>
      </c>
      <c r="H1733" s="31">
        <v>780428</v>
      </c>
      <c r="I1733" s="111"/>
      <c r="J1733" s="101"/>
      <c r="K1733" s="101"/>
    </row>
    <row r="1734" spans="1:11" ht="16.350000000000001" customHeight="1">
      <c r="A1734" s="45">
        <v>3</v>
      </c>
      <c r="B1734" s="120" t="s">
        <v>538</v>
      </c>
      <c r="C1734" s="120" t="s">
        <v>13</v>
      </c>
      <c r="D1734" s="9"/>
      <c r="E1734" s="9"/>
      <c r="F1734" s="10">
        <f t="shared" si="356"/>
        <v>0</v>
      </c>
      <c r="G1734" s="46">
        <f t="shared" si="357"/>
        <v>0</v>
      </c>
      <c r="H1734" s="31">
        <v>770803</v>
      </c>
      <c r="I1734" s="111"/>
      <c r="J1734" s="101"/>
      <c r="K1734" s="101"/>
    </row>
    <row r="1735" spans="1:11" ht="16.350000000000001" customHeight="1">
      <c r="A1735" s="45">
        <v>4</v>
      </c>
      <c r="B1735" s="126" t="s">
        <v>539</v>
      </c>
      <c r="C1735" s="120" t="s">
        <v>13</v>
      </c>
      <c r="D1735" s="3"/>
      <c r="E1735" s="9"/>
      <c r="F1735" s="10">
        <f t="shared" si="356"/>
        <v>0</v>
      </c>
      <c r="G1735" s="46">
        <f t="shared" si="357"/>
        <v>0</v>
      </c>
      <c r="H1735" s="31"/>
      <c r="I1735" s="111"/>
      <c r="J1735" s="101"/>
      <c r="K1735" s="101"/>
    </row>
    <row r="1736" spans="1:11" ht="16.350000000000001" customHeight="1">
      <c r="A1736" s="45">
        <v>5</v>
      </c>
      <c r="B1736" s="120" t="s">
        <v>540</v>
      </c>
      <c r="C1736" s="120" t="s">
        <v>13</v>
      </c>
      <c r="D1736" s="9"/>
      <c r="E1736" s="9"/>
      <c r="F1736" s="10">
        <f t="shared" si="356"/>
        <v>0</v>
      </c>
      <c r="G1736" s="46">
        <f t="shared" si="357"/>
        <v>0</v>
      </c>
      <c r="H1736" s="31"/>
      <c r="I1736" s="111"/>
      <c r="J1736" s="101"/>
      <c r="K1736" s="101"/>
    </row>
    <row r="1737" spans="1:11" ht="16.350000000000001" customHeight="1">
      <c r="A1737" s="45">
        <v>6</v>
      </c>
      <c r="B1737" s="120" t="s">
        <v>645</v>
      </c>
      <c r="C1737" s="120" t="s">
        <v>88</v>
      </c>
      <c r="D1737" s="9"/>
      <c r="E1737" s="9"/>
      <c r="F1737" s="10">
        <f t="shared" si="356"/>
        <v>0</v>
      </c>
      <c r="G1737" s="46">
        <f t="shared" si="357"/>
        <v>0</v>
      </c>
      <c r="I1737" s="110"/>
    </row>
    <row r="1738" spans="1:11" ht="16.350000000000001" customHeight="1">
      <c r="A1738" s="47" t="s">
        <v>896</v>
      </c>
      <c r="B1738" s="5"/>
      <c r="C1738" s="4"/>
      <c r="D1738" s="14"/>
      <c r="E1738" s="14"/>
      <c r="F1738" s="14"/>
      <c r="G1738" s="53"/>
      <c r="I1738" s="110"/>
    </row>
    <row r="1739" spans="1:11" ht="16.350000000000001" customHeight="1">
      <c r="A1739" s="43" t="s">
        <v>0</v>
      </c>
      <c r="B1739" s="7" t="s">
        <v>1</v>
      </c>
      <c r="C1739" s="8" t="s">
        <v>4</v>
      </c>
      <c r="D1739" s="7" t="s">
        <v>2</v>
      </c>
      <c r="E1739" s="7" t="s">
        <v>6</v>
      </c>
      <c r="F1739" s="128" t="s">
        <v>7</v>
      </c>
      <c r="G1739" s="129" t="s">
        <v>8</v>
      </c>
      <c r="I1739" s="110"/>
    </row>
    <row r="1740" spans="1:11" ht="16.350000000000001" customHeight="1">
      <c r="A1740" s="45">
        <v>1</v>
      </c>
      <c r="B1740" s="126" t="s">
        <v>741</v>
      </c>
      <c r="C1740" s="126" t="s">
        <v>898</v>
      </c>
      <c r="D1740" s="9"/>
      <c r="E1740" s="9"/>
      <c r="F1740" s="130">
        <f>IF(E1740="",0,IF(E1740&gt;0,RANK(E1740,$E$1740:$E$1769,1)))</f>
        <v>0</v>
      </c>
      <c r="G1740" s="131">
        <f>VLOOKUP(F1740,$L$3:$M$33,2,0)</f>
        <v>0</v>
      </c>
      <c r="I1740" s="110"/>
    </row>
    <row r="1741" spans="1:11" ht="16.350000000000001" customHeight="1">
      <c r="A1741" s="45">
        <v>2</v>
      </c>
      <c r="B1741" s="120" t="s">
        <v>553</v>
      </c>
      <c r="C1741" s="120" t="s">
        <v>64</v>
      </c>
      <c r="D1741" s="9"/>
      <c r="E1741" s="9"/>
      <c r="F1741" s="130">
        <f t="shared" ref="F1741:F1745" si="358">IF(E1741="",0,IF(E1741&gt;0,RANK(E1741,$E$1740:$E$1769,1)))</f>
        <v>0</v>
      </c>
      <c r="G1741" s="131">
        <f t="shared" ref="G1741:G1745" si="359">VLOOKUP(F1741,$L$3:$M$33,2,0)</f>
        <v>0</v>
      </c>
      <c r="H1741" s="31">
        <v>780428</v>
      </c>
      <c r="I1741" s="111"/>
      <c r="J1741" s="101"/>
      <c r="K1741" s="101"/>
    </row>
    <row r="1742" spans="1:11" ht="16.350000000000001" customHeight="1">
      <c r="A1742" s="45">
        <v>3</v>
      </c>
      <c r="B1742" s="120" t="s">
        <v>861</v>
      </c>
      <c r="C1742" s="120" t="s">
        <v>64</v>
      </c>
      <c r="D1742" s="9"/>
      <c r="E1742" s="9"/>
      <c r="F1742" s="130">
        <f t="shared" si="358"/>
        <v>0</v>
      </c>
      <c r="G1742" s="131">
        <f t="shared" si="359"/>
        <v>0</v>
      </c>
      <c r="H1742" s="31">
        <v>770803</v>
      </c>
      <c r="I1742" s="111"/>
      <c r="J1742" s="101"/>
      <c r="K1742" s="101"/>
    </row>
    <row r="1743" spans="1:11" ht="16.350000000000001" customHeight="1">
      <c r="A1743" s="45">
        <v>4</v>
      </c>
      <c r="B1743" s="120" t="s">
        <v>457</v>
      </c>
      <c r="C1743" s="120" t="s">
        <v>64</v>
      </c>
      <c r="D1743" s="9"/>
      <c r="E1743" s="9"/>
      <c r="F1743" s="130">
        <f t="shared" si="358"/>
        <v>0</v>
      </c>
      <c r="G1743" s="131">
        <f t="shared" si="359"/>
        <v>0</v>
      </c>
      <c r="H1743" s="31"/>
      <c r="I1743" s="111"/>
      <c r="J1743" s="101"/>
      <c r="K1743" s="101"/>
    </row>
    <row r="1744" spans="1:11" ht="16.350000000000001" customHeight="1">
      <c r="A1744" s="45">
        <v>5</v>
      </c>
      <c r="B1744" s="120" t="s">
        <v>811</v>
      </c>
      <c r="C1744" s="120" t="s">
        <v>345</v>
      </c>
      <c r="D1744" s="9"/>
      <c r="E1744" s="9"/>
      <c r="F1744" s="130">
        <f t="shared" si="358"/>
        <v>0</v>
      </c>
      <c r="G1744" s="131">
        <f t="shared" si="359"/>
        <v>0</v>
      </c>
      <c r="H1744" s="31"/>
      <c r="I1744" s="111"/>
      <c r="J1744" s="101"/>
      <c r="K1744" s="101"/>
    </row>
    <row r="1745" spans="1:11" ht="16.350000000000001" customHeight="1">
      <c r="A1745" s="45">
        <v>6</v>
      </c>
      <c r="B1745" s="120" t="s">
        <v>651</v>
      </c>
      <c r="C1745" s="120" t="s">
        <v>60</v>
      </c>
      <c r="D1745" s="9"/>
      <c r="E1745" s="9"/>
      <c r="F1745" s="130">
        <f t="shared" si="358"/>
        <v>0</v>
      </c>
      <c r="G1745" s="131">
        <f t="shared" si="359"/>
        <v>0</v>
      </c>
      <c r="I1745" s="110"/>
    </row>
    <row r="1746" spans="1:11" ht="16.350000000000001" customHeight="1">
      <c r="A1746" s="47" t="s">
        <v>897</v>
      </c>
      <c r="B1746" s="5"/>
      <c r="C1746" s="4"/>
      <c r="D1746" s="14"/>
      <c r="E1746" s="14"/>
      <c r="F1746" s="144"/>
      <c r="G1746" s="145"/>
      <c r="I1746" s="110"/>
    </row>
    <row r="1747" spans="1:11" ht="16.350000000000001" customHeight="1">
      <c r="A1747" s="43" t="s">
        <v>0</v>
      </c>
      <c r="B1747" s="7" t="s">
        <v>1</v>
      </c>
      <c r="C1747" s="8" t="s">
        <v>4</v>
      </c>
      <c r="D1747" s="7" t="s">
        <v>2</v>
      </c>
      <c r="E1747" s="7" t="s">
        <v>6</v>
      </c>
      <c r="F1747" s="128" t="s">
        <v>7</v>
      </c>
      <c r="G1747" s="129" t="s">
        <v>8</v>
      </c>
      <c r="I1747" s="110"/>
    </row>
    <row r="1748" spans="1:11" ht="16.350000000000001" customHeight="1">
      <c r="A1748" s="45">
        <v>1</v>
      </c>
      <c r="B1748" s="127" t="s">
        <v>743</v>
      </c>
      <c r="C1748" s="120" t="s">
        <v>60</v>
      </c>
      <c r="D1748" s="9"/>
      <c r="E1748" s="9"/>
      <c r="F1748" s="130">
        <f>IF(E1748="",0,IF(E1748&gt;0,RANK(E1748,$E$1740:$E$1769,1)))</f>
        <v>0</v>
      </c>
      <c r="G1748" s="131">
        <f>VLOOKUP(F1748,$L$3:$M$33,2,0)</f>
        <v>0</v>
      </c>
      <c r="I1748" s="110"/>
    </row>
    <row r="1749" spans="1:11" ht="16.350000000000001" customHeight="1">
      <c r="A1749" s="45">
        <v>2</v>
      </c>
      <c r="B1749" s="127" t="s">
        <v>554</v>
      </c>
      <c r="C1749" s="120" t="s">
        <v>269</v>
      </c>
      <c r="D1749" s="9"/>
      <c r="E1749" s="9"/>
      <c r="F1749" s="130">
        <f t="shared" ref="F1749:F1753" si="360">IF(E1749="",0,IF(E1749&gt;0,RANK(E1749,$E$1740:$E$1769,1)))</f>
        <v>0</v>
      </c>
      <c r="G1749" s="131">
        <f t="shared" ref="G1749:G1753" si="361">VLOOKUP(F1749,$L$3:$M$33,2,0)</f>
        <v>0</v>
      </c>
      <c r="H1749" s="31">
        <v>780428</v>
      </c>
      <c r="I1749" s="111"/>
      <c r="J1749" s="101"/>
      <c r="K1749" s="101"/>
    </row>
    <row r="1750" spans="1:11" ht="16.350000000000001" customHeight="1">
      <c r="A1750" s="45">
        <v>3</v>
      </c>
      <c r="B1750" s="120" t="s">
        <v>744</v>
      </c>
      <c r="C1750" s="120" t="s">
        <v>269</v>
      </c>
      <c r="D1750" s="9"/>
      <c r="E1750" s="9"/>
      <c r="F1750" s="130">
        <f t="shared" si="360"/>
        <v>0</v>
      </c>
      <c r="G1750" s="131">
        <f t="shared" si="361"/>
        <v>0</v>
      </c>
      <c r="H1750" s="31">
        <v>770803</v>
      </c>
      <c r="I1750" s="111"/>
      <c r="J1750" s="101"/>
      <c r="K1750" s="101"/>
    </row>
    <row r="1751" spans="1:11" ht="16.350000000000001" customHeight="1">
      <c r="A1751" s="45">
        <v>4</v>
      </c>
      <c r="B1751" s="120" t="s">
        <v>900</v>
      </c>
      <c r="C1751" s="120" t="s">
        <v>269</v>
      </c>
      <c r="D1751" s="9"/>
      <c r="E1751" s="9"/>
      <c r="F1751" s="130">
        <f t="shared" si="360"/>
        <v>0</v>
      </c>
      <c r="G1751" s="131">
        <f t="shared" si="361"/>
        <v>0</v>
      </c>
      <c r="H1751" s="31"/>
      <c r="I1751" s="111"/>
      <c r="J1751" s="101"/>
      <c r="K1751" s="101"/>
    </row>
    <row r="1752" spans="1:11" ht="16.350000000000001" customHeight="1">
      <c r="A1752" s="45">
        <v>5</v>
      </c>
      <c r="B1752" s="120" t="s">
        <v>747</v>
      </c>
      <c r="C1752" s="120" t="s">
        <v>547</v>
      </c>
      <c r="D1752" s="9"/>
      <c r="E1752" s="9"/>
      <c r="F1752" s="130">
        <f t="shared" si="360"/>
        <v>0</v>
      </c>
      <c r="G1752" s="131">
        <f t="shared" si="361"/>
        <v>0</v>
      </c>
      <c r="H1752" s="31"/>
      <c r="I1752" s="111"/>
      <c r="J1752" s="101"/>
      <c r="K1752" s="101"/>
    </row>
    <row r="1753" spans="1:11" ht="16.350000000000001" customHeight="1">
      <c r="A1753" s="45">
        <v>6</v>
      </c>
      <c r="B1753" s="120" t="s">
        <v>903</v>
      </c>
      <c r="C1753" s="120" t="s">
        <v>547</v>
      </c>
      <c r="D1753" s="9"/>
      <c r="E1753" s="9"/>
      <c r="F1753" s="130">
        <f t="shared" si="360"/>
        <v>0</v>
      </c>
      <c r="G1753" s="131">
        <f t="shared" si="361"/>
        <v>0</v>
      </c>
      <c r="I1753" s="110"/>
    </row>
    <row r="1754" spans="1:11" s="13" customFormat="1" ht="16.350000000000001" customHeight="1">
      <c r="A1754" s="47" t="s">
        <v>899</v>
      </c>
      <c r="B1754" s="5"/>
      <c r="C1754" s="5"/>
      <c r="D1754" s="16"/>
      <c r="E1754" s="16"/>
      <c r="F1754" s="138"/>
      <c r="G1754" s="139"/>
    </row>
    <row r="1755" spans="1:11" ht="16.350000000000001" customHeight="1">
      <c r="A1755" s="43" t="s">
        <v>0</v>
      </c>
      <c r="B1755" s="7" t="s">
        <v>1</v>
      </c>
      <c r="C1755" s="8" t="s">
        <v>4</v>
      </c>
      <c r="D1755" s="7" t="s">
        <v>2</v>
      </c>
      <c r="E1755" s="7" t="s">
        <v>6</v>
      </c>
      <c r="F1755" s="128" t="s">
        <v>7</v>
      </c>
      <c r="G1755" s="129" t="s">
        <v>8</v>
      </c>
      <c r="I1755" s="110"/>
    </row>
    <row r="1756" spans="1:11" ht="16.350000000000001" customHeight="1">
      <c r="A1756" s="45">
        <v>1</v>
      </c>
      <c r="B1756" s="120" t="s">
        <v>654</v>
      </c>
      <c r="C1756" s="120" t="s">
        <v>809</v>
      </c>
      <c r="D1756" s="33"/>
      <c r="E1756" s="11"/>
      <c r="F1756" s="130">
        <f>IF(E1756="",0,IF(E1756&gt;0,RANK(E1756,$E$1740:$E$1769,1)))</f>
        <v>0</v>
      </c>
      <c r="G1756" s="131">
        <f>VLOOKUP(F1756,$L$3:$M$33,2,0)</f>
        <v>0</v>
      </c>
      <c r="I1756" s="110"/>
    </row>
    <row r="1757" spans="1:11" ht="16.350000000000001" customHeight="1">
      <c r="A1757" s="45">
        <v>2</v>
      </c>
      <c r="B1757" s="127" t="s">
        <v>745</v>
      </c>
      <c r="C1757" s="120" t="s">
        <v>547</v>
      </c>
      <c r="D1757" s="9"/>
      <c r="E1757" s="11"/>
      <c r="F1757" s="130">
        <f t="shared" ref="F1757:F1761" si="362">IF(E1757="",0,IF(E1757&gt;0,RANK(E1757,$E$1740:$E$1769,1)))</f>
        <v>0</v>
      </c>
      <c r="G1757" s="131">
        <f t="shared" ref="G1757:G1761" si="363">VLOOKUP(F1757,$L$3:$M$33,2,0)</f>
        <v>0</v>
      </c>
      <c r="I1757" s="110"/>
    </row>
    <row r="1758" spans="1:11" ht="16.350000000000001" customHeight="1">
      <c r="A1758" s="45">
        <v>3</v>
      </c>
      <c r="B1758" s="120" t="s">
        <v>746</v>
      </c>
      <c r="C1758" s="120" t="s">
        <v>547</v>
      </c>
      <c r="D1758" s="3"/>
      <c r="E1758" s="11"/>
      <c r="F1758" s="130">
        <f t="shared" si="362"/>
        <v>0</v>
      </c>
      <c r="G1758" s="131">
        <f t="shared" si="363"/>
        <v>0</v>
      </c>
      <c r="I1758" s="110"/>
    </row>
    <row r="1759" spans="1:11" ht="16.350000000000001" customHeight="1">
      <c r="A1759" s="45">
        <v>4</v>
      </c>
      <c r="B1759" s="120" t="s">
        <v>453</v>
      </c>
      <c r="C1759" s="120" t="s">
        <v>383</v>
      </c>
      <c r="D1759" s="9"/>
      <c r="E1759" s="11"/>
      <c r="F1759" s="130">
        <f t="shared" si="362"/>
        <v>0</v>
      </c>
      <c r="G1759" s="131">
        <f t="shared" si="363"/>
        <v>0</v>
      </c>
      <c r="I1759" s="110"/>
    </row>
    <row r="1760" spans="1:11" ht="16.350000000000001" customHeight="1">
      <c r="A1760" s="45">
        <v>5</v>
      </c>
      <c r="B1760" s="120"/>
      <c r="C1760" s="120"/>
      <c r="D1760" s="9"/>
      <c r="E1760" s="11"/>
      <c r="F1760" s="130">
        <f t="shared" si="362"/>
        <v>0</v>
      </c>
      <c r="G1760" s="131">
        <f t="shared" si="363"/>
        <v>0</v>
      </c>
      <c r="I1760" s="110"/>
    </row>
    <row r="1761" spans="1:9" ht="16.350000000000001" customHeight="1">
      <c r="A1761" s="45">
        <v>6</v>
      </c>
      <c r="B1761" s="120"/>
      <c r="C1761" s="120"/>
      <c r="D1761" s="9"/>
      <c r="E1761" s="11"/>
      <c r="F1761" s="130">
        <f t="shared" si="362"/>
        <v>0</v>
      </c>
      <c r="G1761" s="131">
        <f t="shared" si="363"/>
        <v>0</v>
      </c>
      <c r="I1761" s="110"/>
    </row>
    <row r="1762" spans="1:9" s="13" customFormat="1" ht="16.350000000000001" customHeight="1">
      <c r="A1762" s="47" t="s">
        <v>902</v>
      </c>
      <c r="B1762" s="5"/>
      <c r="C1762" s="5"/>
      <c r="D1762" s="16"/>
      <c r="E1762" s="16"/>
      <c r="F1762" s="138"/>
      <c r="G1762" s="139"/>
      <c r="I1762" s="112"/>
    </row>
    <row r="1763" spans="1:9" ht="16.350000000000001" customHeight="1">
      <c r="A1763" s="43" t="s">
        <v>0</v>
      </c>
      <c r="B1763" s="7" t="s">
        <v>1</v>
      </c>
      <c r="C1763" s="8" t="s">
        <v>4</v>
      </c>
      <c r="D1763" s="7" t="s">
        <v>2</v>
      </c>
      <c r="E1763" s="7" t="s">
        <v>6</v>
      </c>
      <c r="F1763" s="128" t="s">
        <v>7</v>
      </c>
      <c r="G1763" s="129" t="s">
        <v>8</v>
      </c>
      <c r="I1763" s="110"/>
    </row>
    <row r="1764" spans="1:9" ht="16.350000000000001" customHeight="1">
      <c r="A1764" s="45">
        <v>1</v>
      </c>
      <c r="B1764" s="120" t="s">
        <v>813</v>
      </c>
      <c r="C1764" s="120" t="s">
        <v>547</v>
      </c>
      <c r="D1764" s="15"/>
      <c r="E1764" s="11"/>
      <c r="F1764" s="130">
        <f>IF(E1764="",0,IF(E1764&gt;0,RANK(E1764,$E$1740:$E$1769,1)))</f>
        <v>0</v>
      </c>
      <c r="G1764" s="131">
        <f>VLOOKUP(F1764,$L$3:$M$33,2,0)</f>
        <v>0</v>
      </c>
      <c r="I1764" s="110"/>
    </row>
    <row r="1765" spans="1:9" ht="16.350000000000001" customHeight="1">
      <c r="A1765" s="45">
        <v>2</v>
      </c>
      <c r="B1765" s="120" t="s">
        <v>652</v>
      </c>
      <c r="C1765" s="120" t="s">
        <v>547</v>
      </c>
      <c r="D1765" s="15"/>
      <c r="E1765" s="11"/>
      <c r="F1765" s="130">
        <f t="shared" ref="F1765:F1769" si="364">IF(E1765="",0,IF(E1765&gt;0,RANK(E1765,$E$1740:$E$1769,1)))</f>
        <v>0</v>
      </c>
      <c r="G1765" s="131">
        <f t="shared" ref="G1765:G1769" si="365">VLOOKUP(F1765,$L$3:$M$33,2,0)</f>
        <v>0</v>
      </c>
      <c r="I1765" s="110"/>
    </row>
    <row r="1766" spans="1:9" ht="16.350000000000001" customHeight="1">
      <c r="A1766" s="45">
        <v>3</v>
      </c>
      <c r="B1766" s="120" t="s">
        <v>748</v>
      </c>
      <c r="C1766" s="120" t="s">
        <v>547</v>
      </c>
      <c r="D1766" s="15"/>
      <c r="E1766" s="11"/>
      <c r="F1766" s="130">
        <f t="shared" si="364"/>
        <v>0</v>
      </c>
      <c r="G1766" s="131">
        <f t="shared" si="365"/>
        <v>0</v>
      </c>
      <c r="I1766" s="110"/>
    </row>
    <row r="1767" spans="1:9" ht="16.350000000000001" customHeight="1">
      <c r="A1767" s="45">
        <v>4</v>
      </c>
      <c r="B1767" s="120" t="s">
        <v>653</v>
      </c>
      <c r="C1767" s="120" t="s">
        <v>401</v>
      </c>
      <c r="D1767" s="15"/>
      <c r="E1767" s="11"/>
      <c r="F1767" s="130">
        <f t="shared" si="364"/>
        <v>0</v>
      </c>
      <c r="G1767" s="131">
        <f t="shared" si="365"/>
        <v>0</v>
      </c>
      <c r="I1767" s="110"/>
    </row>
    <row r="1768" spans="1:9" ht="16.350000000000001" customHeight="1">
      <c r="A1768" s="45">
        <v>5</v>
      </c>
      <c r="B1768" s="120" t="s">
        <v>901</v>
      </c>
      <c r="C1768" s="120" t="s">
        <v>269</v>
      </c>
      <c r="D1768" s="33"/>
      <c r="E1768" s="11"/>
      <c r="F1768" s="130">
        <f t="shared" si="364"/>
        <v>0</v>
      </c>
      <c r="G1768" s="131">
        <f t="shared" si="365"/>
        <v>0</v>
      </c>
      <c r="I1768" s="110"/>
    </row>
    <row r="1769" spans="1:9" ht="16.350000000000001" customHeight="1">
      <c r="A1769" s="45">
        <v>6</v>
      </c>
      <c r="B1769" s="120" t="s">
        <v>556</v>
      </c>
      <c r="C1769" s="120" t="s">
        <v>807</v>
      </c>
      <c r="D1769" s="9"/>
      <c r="E1769" s="11"/>
      <c r="F1769" s="130">
        <f t="shared" si="364"/>
        <v>0</v>
      </c>
      <c r="G1769" s="131">
        <f t="shared" si="365"/>
        <v>0</v>
      </c>
      <c r="I1769" s="110"/>
    </row>
    <row r="1770" spans="1:9" s="13" customFormat="1" ht="16.350000000000001" customHeight="1">
      <c r="A1770" s="47" t="s">
        <v>904</v>
      </c>
      <c r="B1770" s="5"/>
      <c r="C1770" s="5"/>
      <c r="D1770" s="16"/>
      <c r="E1770" s="16"/>
      <c r="F1770" s="16"/>
      <c r="G1770" s="52"/>
      <c r="I1770" s="112"/>
    </row>
    <row r="1771" spans="1:9" ht="16.350000000000001" customHeight="1">
      <c r="A1771" s="43" t="s">
        <v>0</v>
      </c>
      <c r="B1771" s="7" t="s">
        <v>1</v>
      </c>
      <c r="C1771" s="8" t="s">
        <v>4</v>
      </c>
      <c r="D1771" s="7" t="s">
        <v>2</v>
      </c>
      <c r="E1771" s="7" t="s">
        <v>6</v>
      </c>
      <c r="F1771" s="128" t="s">
        <v>7</v>
      </c>
      <c r="G1771" s="129" t="s">
        <v>8</v>
      </c>
      <c r="I1771" s="110"/>
    </row>
    <row r="1772" spans="1:9" ht="16.350000000000001" customHeight="1">
      <c r="A1772" s="45">
        <v>1</v>
      </c>
      <c r="B1772" s="120" t="s">
        <v>564</v>
      </c>
      <c r="C1772" s="120" t="s">
        <v>64</v>
      </c>
      <c r="D1772" s="15"/>
      <c r="E1772" s="11"/>
      <c r="F1772" s="130">
        <f>IF(E1772="",0,IF(E1772&gt;0,RANK(E1772,$E$1772:$E$1793,1)))</f>
        <v>0</v>
      </c>
      <c r="G1772" s="131">
        <f>VLOOKUP(F1772,$L$3:$M$33,2,0)</f>
        <v>0</v>
      </c>
      <c r="I1772" s="110"/>
    </row>
    <row r="1773" spans="1:9" ht="16.350000000000001" customHeight="1">
      <c r="A1773" s="45">
        <v>2</v>
      </c>
      <c r="B1773" s="120" t="s">
        <v>469</v>
      </c>
      <c r="C1773" s="120" t="s">
        <v>15</v>
      </c>
      <c r="D1773" s="15"/>
      <c r="E1773" s="11"/>
      <c r="F1773" s="130">
        <f t="shared" ref="F1773:F1777" si="366">IF(E1773="",0,IF(E1773&gt;0,RANK(E1773,$E$1772:$E$1793,1)))</f>
        <v>0</v>
      </c>
      <c r="G1773" s="131">
        <f t="shared" ref="G1773:G1777" si="367">VLOOKUP(F1773,$L$3:$M$33,2,0)</f>
        <v>0</v>
      </c>
      <c r="I1773" s="110"/>
    </row>
    <row r="1774" spans="1:9" ht="16.350000000000001" customHeight="1">
      <c r="A1774" s="45">
        <v>3</v>
      </c>
      <c r="B1774" s="120" t="s">
        <v>659</v>
      </c>
      <c r="C1774" s="120" t="s">
        <v>15</v>
      </c>
      <c r="D1774" s="15"/>
      <c r="E1774" s="11"/>
      <c r="F1774" s="130">
        <f t="shared" si="366"/>
        <v>0</v>
      </c>
      <c r="G1774" s="131">
        <f t="shared" si="367"/>
        <v>0</v>
      </c>
      <c r="I1774" s="110"/>
    </row>
    <row r="1775" spans="1:9" ht="16.350000000000001" customHeight="1">
      <c r="A1775" s="45">
        <v>4</v>
      </c>
      <c r="B1775" s="120" t="s">
        <v>660</v>
      </c>
      <c r="C1775" s="120" t="s">
        <v>405</v>
      </c>
      <c r="D1775" s="15"/>
      <c r="E1775" s="11"/>
      <c r="F1775" s="130">
        <f t="shared" si="366"/>
        <v>0</v>
      </c>
      <c r="G1775" s="131">
        <f t="shared" si="367"/>
        <v>0</v>
      </c>
      <c r="I1775" s="110"/>
    </row>
    <row r="1776" spans="1:9" ht="16.350000000000001" customHeight="1">
      <c r="A1776" s="45">
        <v>5</v>
      </c>
      <c r="B1776" s="120" t="s">
        <v>661</v>
      </c>
      <c r="C1776" s="120" t="s">
        <v>405</v>
      </c>
      <c r="D1776" s="33"/>
      <c r="E1776" s="11"/>
      <c r="F1776" s="130">
        <f t="shared" si="366"/>
        <v>0</v>
      </c>
      <c r="G1776" s="131">
        <f t="shared" si="367"/>
        <v>0</v>
      </c>
      <c r="I1776" s="110"/>
    </row>
    <row r="1777" spans="1:9" ht="16.350000000000001" customHeight="1">
      <c r="A1777" s="45">
        <v>6</v>
      </c>
      <c r="B1777" s="127"/>
      <c r="C1777" s="120"/>
      <c r="D1777" s="9"/>
      <c r="E1777" s="11"/>
      <c r="F1777" s="130">
        <f t="shared" si="366"/>
        <v>0</v>
      </c>
      <c r="G1777" s="131">
        <f t="shared" si="367"/>
        <v>0</v>
      </c>
      <c r="I1777" s="110"/>
    </row>
    <row r="1778" spans="1:9" ht="16.350000000000001" customHeight="1">
      <c r="A1778" s="47" t="s">
        <v>905</v>
      </c>
      <c r="B1778" s="5"/>
      <c r="C1778" s="4"/>
      <c r="D1778" s="14"/>
      <c r="E1778" s="14"/>
      <c r="F1778" s="144"/>
      <c r="G1778" s="145"/>
    </row>
    <row r="1779" spans="1:9" ht="16.350000000000001" customHeight="1">
      <c r="A1779" s="43" t="s">
        <v>0</v>
      </c>
      <c r="B1779" s="7" t="s">
        <v>1</v>
      </c>
      <c r="C1779" s="8" t="s">
        <v>4</v>
      </c>
      <c r="D1779" s="7" t="s">
        <v>2</v>
      </c>
      <c r="E1779" s="7" t="s">
        <v>6</v>
      </c>
      <c r="F1779" s="128" t="s">
        <v>7</v>
      </c>
      <c r="G1779" s="129" t="s">
        <v>8</v>
      </c>
      <c r="I1779" s="110"/>
    </row>
    <row r="1780" spans="1:9" ht="16.350000000000001" customHeight="1">
      <c r="A1780" s="45">
        <v>1</v>
      </c>
      <c r="B1780" s="120" t="s">
        <v>760</v>
      </c>
      <c r="C1780" s="120" t="s">
        <v>370</v>
      </c>
      <c r="D1780" s="15"/>
      <c r="E1780" s="11"/>
      <c r="F1780" s="130">
        <f>IF(E1780="",0,IF(E1780&gt;0,RANK(E1780,$E$1772:$E$1793,1)))</f>
        <v>0</v>
      </c>
      <c r="G1780" s="131">
        <f>VLOOKUP(F1780,$L$3:$M$33,2,0)</f>
        <v>0</v>
      </c>
      <c r="I1780" s="110"/>
    </row>
    <row r="1781" spans="1:9" ht="16.350000000000001" customHeight="1">
      <c r="A1781" s="45">
        <v>2</v>
      </c>
      <c r="B1781" s="127" t="s">
        <v>817</v>
      </c>
      <c r="C1781" s="120" t="s">
        <v>84</v>
      </c>
      <c r="D1781" s="15"/>
      <c r="E1781" s="11"/>
      <c r="F1781" s="130">
        <f t="shared" ref="F1781:F1785" si="368">IF(E1781="",0,IF(E1781&gt;0,RANK(E1781,$E$1772:$E$1793,1)))</f>
        <v>0</v>
      </c>
      <c r="G1781" s="131">
        <f t="shared" ref="G1781:G1785" si="369">VLOOKUP(F1781,$L$3:$M$33,2,0)</f>
        <v>0</v>
      </c>
      <c r="I1781" s="110"/>
    </row>
    <row r="1782" spans="1:9" ht="16.350000000000001" customHeight="1">
      <c r="A1782" s="45">
        <v>3</v>
      </c>
      <c r="B1782" s="126" t="s">
        <v>761</v>
      </c>
      <c r="C1782" s="120" t="s">
        <v>551</v>
      </c>
      <c r="D1782" s="15"/>
      <c r="E1782" s="11"/>
      <c r="F1782" s="130">
        <f t="shared" si="368"/>
        <v>0</v>
      </c>
      <c r="G1782" s="131">
        <f t="shared" si="369"/>
        <v>0</v>
      </c>
      <c r="I1782" s="110"/>
    </row>
    <row r="1783" spans="1:9" ht="16.350000000000001" customHeight="1">
      <c r="A1783" s="45">
        <v>4</v>
      </c>
      <c r="B1783" s="127" t="s">
        <v>663</v>
      </c>
      <c r="C1783" s="120" t="s">
        <v>13</v>
      </c>
      <c r="D1783" s="15"/>
      <c r="E1783" s="11"/>
      <c r="F1783" s="130">
        <f t="shared" si="368"/>
        <v>0</v>
      </c>
      <c r="G1783" s="131">
        <f t="shared" si="369"/>
        <v>0</v>
      </c>
      <c r="I1783" s="110"/>
    </row>
    <row r="1784" spans="1:9" ht="16.350000000000001" customHeight="1">
      <c r="A1784" s="45">
        <v>5</v>
      </c>
      <c r="B1784" s="120" t="s">
        <v>472</v>
      </c>
      <c r="C1784" s="120" t="s">
        <v>88</v>
      </c>
      <c r="D1784" s="3"/>
      <c r="E1784" s="11"/>
      <c r="F1784" s="130">
        <f t="shared" si="368"/>
        <v>0</v>
      </c>
      <c r="G1784" s="131">
        <f t="shared" si="369"/>
        <v>0</v>
      </c>
      <c r="I1784" s="110"/>
    </row>
    <row r="1785" spans="1:9" ht="16.350000000000001" customHeight="1">
      <c r="A1785" s="45">
        <v>6</v>
      </c>
      <c r="B1785" s="120"/>
      <c r="C1785" s="120"/>
      <c r="D1785" s="9"/>
      <c r="E1785" s="11"/>
      <c r="F1785" s="130">
        <f t="shared" si="368"/>
        <v>0</v>
      </c>
      <c r="G1785" s="131">
        <f t="shared" si="369"/>
        <v>0</v>
      </c>
      <c r="I1785" s="110"/>
    </row>
    <row r="1786" spans="1:9" ht="16.350000000000001" customHeight="1">
      <c r="A1786" s="47" t="s">
        <v>906</v>
      </c>
      <c r="B1786" s="5"/>
      <c r="C1786" s="4"/>
      <c r="D1786" s="14"/>
      <c r="E1786" s="14"/>
      <c r="F1786" s="144"/>
      <c r="G1786" s="145"/>
      <c r="I1786" s="110"/>
    </row>
    <row r="1787" spans="1:9" ht="16.350000000000001" customHeight="1">
      <c r="A1787" s="43" t="s">
        <v>0</v>
      </c>
      <c r="B1787" s="7" t="s">
        <v>1</v>
      </c>
      <c r="C1787" s="8" t="s">
        <v>4</v>
      </c>
      <c r="D1787" s="7" t="s">
        <v>2</v>
      </c>
      <c r="E1787" s="7" t="s">
        <v>6</v>
      </c>
      <c r="F1787" s="128" t="s">
        <v>7</v>
      </c>
      <c r="G1787" s="129" t="s">
        <v>8</v>
      </c>
      <c r="I1787" s="110"/>
    </row>
    <row r="1788" spans="1:9" ht="16.350000000000001" customHeight="1">
      <c r="A1788" s="45">
        <v>1</v>
      </c>
      <c r="B1788" s="85"/>
      <c r="C1788" s="85"/>
      <c r="D1788" s="9"/>
      <c r="E1788" s="9"/>
      <c r="F1788" s="130">
        <f>IF(E1788="",0,IF(E1788&gt;0,RANK(E1788,$E$1772:$E$1793,1)))</f>
        <v>0</v>
      </c>
      <c r="G1788" s="131">
        <f>VLOOKUP(F1788,$L$3:$M$33,2,0)</f>
        <v>0</v>
      </c>
      <c r="I1788" s="110"/>
    </row>
    <row r="1789" spans="1:9" ht="16.350000000000001" customHeight="1">
      <c r="A1789" s="45">
        <v>2</v>
      </c>
      <c r="B1789" s="127" t="s">
        <v>667</v>
      </c>
      <c r="C1789" s="120" t="s">
        <v>88</v>
      </c>
      <c r="D1789" s="9"/>
      <c r="E1789" s="9"/>
      <c r="F1789" s="130">
        <f t="shared" ref="F1789:F1793" si="370">IF(E1789="",0,IF(E1789&gt;0,RANK(E1789,$E$1772:$E$1793,1)))</f>
        <v>0</v>
      </c>
      <c r="G1789" s="131">
        <f t="shared" ref="G1789:G1793" si="371">VLOOKUP(F1789,$L$3:$M$33,2,0)</f>
        <v>0</v>
      </c>
      <c r="I1789" s="110"/>
    </row>
    <row r="1790" spans="1:9" ht="16.350000000000001" customHeight="1">
      <c r="A1790" s="45">
        <v>3</v>
      </c>
      <c r="B1790" s="120" t="s">
        <v>819</v>
      </c>
      <c r="C1790" s="120" t="s">
        <v>88</v>
      </c>
      <c r="D1790" s="9"/>
      <c r="E1790" s="9"/>
      <c r="F1790" s="130">
        <f t="shared" si="370"/>
        <v>0</v>
      </c>
      <c r="G1790" s="131">
        <f t="shared" si="371"/>
        <v>0</v>
      </c>
      <c r="I1790" s="110"/>
    </row>
    <row r="1791" spans="1:9" ht="16.350000000000001" customHeight="1">
      <c r="A1791" s="45">
        <v>4</v>
      </c>
      <c r="B1791" s="120" t="s">
        <v>664</v>
      </c>
      <c r="C1791" s="120" t="s">
        <v>907</v>
      </c>
      <c r="D1791" s="9"/>
      <c r="E1791" s="9"/>
      <c r="F1791" s="130">
        <f t="shared" si="370"/>
        <v>0</v>
      </c>
      <c r="G1791" s="131">
        <f t="shared" si="371"/>
        <v>0</v>
      </c>
      <c r="I1791" s="110"/>
    </row>
    <row r="1792" spans="1:9" ht="16.350000000000001" customHeight="1">
      <c r="A1792" s="45">
        <v>5</v>
      </c>
      <c r="B1792" s="127" t="s">
        <v>662</v>
      </c>
      <c r="C1792" s="120" t="s">
        <v>84</v>
      </c>
      <c r="D1792" s="9"/>
      <c r="E1792" s="9"/>
      <c r="F1792" s="130">
        <f t="shared" si="370"/>
        <v>0</v>
      </c>
      <c r="G1792" s="131">
        <f t="shared" si="371"/>
        <v>0</v>
      </c>
      <c r="I1792" s="110"/>
    </row>
    <row r="1793" spans="1:11" ht="16.350000000000001" customHeight="1">
      <c r="A1793" s="45">
        <v>6</v>
      </c>
      <c r="B1793" s="85"/>
      <c r="C1793" s="85"/>
      <c r="D1793" s="9"/>
      <c r="E1793" s="9"/>
      <c r="F1793" s="130">
        <f t="shared" si="370"/>
        <v>0</v>
      </c>
      <c r="G1793" s="131">
        <f t="shared" si="371"/>
        <v>0</v>
      </c>
      <c r="I1793" s="110"/>
    </row>
    <row r="1794" spans="1:11" ht="16.350000000000001" customHeight="1">
      <c r="A1794" s="47" t="s">
        <v>908</v>
      </c>
      <c r="B1794" s="5"/>
      <c r="C1794" s="4"/>
      <c r="D1794" s="14"/>
      <c r="E1794" s="14"/>
      <c r="F1794" s="14"/>
      <c r="G1794" s="53"/>
      <c r="I1794" s="110"/>
    </row>
    <row r="1795" spans="1:11" ht="16.350000000000001" customHeight="1">
      <c r="A1795" s="43" t="s">
        <v>0</v>
      </c>
      <c r="B1795" s="7" t="s">
        <v>1</v>
      </c>
      <c r="C1795" s="8" t="s">
        <v>4</v>
      </c>
      <c r="D1795" s="7" t="s">
        <v>2</v>
      </c>
      <c r="E1795" s="7" t="s">
        <v>6</v>
      </c>
      <c r="F1795" s="128" t="s">
        <v>7</v>
      </c>
      <c r="G1795" s="129" t="s">
        <v>8</v>
      </c>
      <c r="I1795" s="110"/>
    </row>
    <row r="1796" spans="1:11" ht="16.350000000000001" customHeight="1">
      <c r="A1796" s="45">
        <v>1</v>
      </c>
      <c r="B1796" s="120" t="s">
        <v>822</v>
      </c>
      <c r="C1796" s="120" t="s">
        <v>64</v>
      </c>
      <c r="D1796" s="9"/>
      <c r="E1796" s="9"/>
      <c r="F1796" s="130">
        <f>IF(E1796="",0,IF(E1796&gt;0,RANK(E1796,$E$1796:$E$1817,1)))</f>
        <v>0</v>
      </c>
      <c r="G1796" s="131">
        <f>VLOOKUP(F1796,$L$3:$M$33,2,0)</f>
        <v>0</v>
      </c>
      <c r="I1796" s="110"/>
    </row>
    <row r="1797" spans="1:11" ht="16.350000000000001" customHeight="1">
      <c r="A1797" s="45">
        <v>2</v>
      </c>
      <c r="B1797" s="120" t="s">
        <v>823</v>
      </c>
      <c r="C1797" s="120" t="s">
        <v>64</v>
      </c>
      <c r="D1797" s="9"/>
      <c r="E1797" s="9"/>
      <c r="F1797" s="130">
        <f t="shared" ref="F1797:F1801" si="372">IF(E1797="",0,IF(E1797&gt;0,RANK(E1797,$E$1796:$E$1817,1)))</f>
        <v>0</v>
      </c>
      <c r="G1797" s="131">
        <f t="shared" ref="G1797:G1801" si="373">VLOOKUP(F1797,$L$3:$M$33,2,0)</f>
        <v>0</v>
      </c>
      <c r="I1797" s="110"/>
    </row>
    <row r="1798" spans="1:11" ht="16.350000000000001" customHeight="1">
      <c r="A1798" s="45">
        <v>3</v>
      </c>
      <c r="B1798" s="120" t="s">
        <v>675</v>
      </c>
      <c r="C1798" s="120" t="s">
        <v>64</v>
      </c>
      <c r="D1798" s="9"/>
      <c r="E1798" s="9"/>
      <c r="F1798" s="130">
        <f t="shared" si="372"/>
        <v>0</v>
      </c>
      <c r="G1798" s="131">
        <f t="shared" si="373"/>
        <v>0</v>
      </c>
      <c r="I1798" s="110"/>
    </row>
    <row r="1799" spans="1:11" ht="16.350000000000001" customHeight="1">
      <c r="A1799" s="45">
        <v>4</v>
      </c>
      <c r="B1799" s="120" t="s">
        <v>769</v>
      </c>
      <c r="C1799" s="120" t="s">
        <v>836</v>
      </c>
      <c r="D1799" s="9"/>
      <c r="E1799" s="9"/>
      <c r="F1799" s="130">
        <f t="shared" si="372"/>
        <v>0</v>
      </c>
      <c r="G1799" s="131">
        <f t="shared" si="373"/>
        <v>0</v>
      </c>
      <c r="I1799" s="110"/>
    </row>
    <row r="1800" spans="1:11" ht="16.350000000000001" customHeight="1">
      <c r="A1800" s="45">
        <v>5</v>
      </c>
      <c r="B1800" s="120" t="s">
        <v>770</v>
      </c>
      <c r="C1800" s="120" t="s">
        <v>405</v>
      </c>
      <c r="D1800" s="9"/>
      <c r="E1800" s="9"/>
      <c r="F1800" s="130">
        <f t="shared" si="372"/>
        <v>0</v>
      </c>
      <c r="G1800" s="131">
        <f t="shared" si="373"/>
        <v>0</v>
      </c>
      <c r="I1800" s="110"/>
    </row>
    <row r="1801" spans="1:11" ht="16.350000000000001" customHeight="1">
      <c r="A1801" s="45">
        <v>6</v>
      </c>
      <c r="B1801" s="120" t="s">
        <v>909</v>
      </c>
      <c r="C1801" s="120" t="s">
        <v>405</v>
      </c>
      <c r="D1801" s="9"/>
      <c r="E1801" s="9"/>
      <c r="F1801" s="130">
        <f t="shared" si="372"/>
        <v>0</v>
      </c>
      <c r="G1801" s="131">
        <f t="shared" si="373"/>
        <v>0</v>
      </c>
      <c r="I1801" s="110"/>
    </row>
    <row r="1802" spans="1:11" ht="16.350000000000001" customHeight="1">
      <c r="A1802" s="47" t="s">
        <v>910</v>
      </c>
      <c r="B1802" s="5"/>
      <c r="C1802" s="4"/>
      <c r="D1802" s="14"/>
      <c r="E1802" s="14"/>
      <c r="F1802" s="144"/>
      <c r="G1802" s="145"/>
    </row>
    <row r="1803" spans="1:11" ht="16.350000000000001" customHeight="1">
      <c r="A1803" s="43" t="s">
        <v>0</v>
      </c>
      <c r="B1803" s="7" t="s">
        <v>1</v>
      </c>
      <c r="C1803" s="8" t="s">
        <v>4</v>
      </c>
      <c r="D1803" s="7" t="s">
        <v>2</v>
      </c>
      <c r="E1803" s="7" t="s">
        <v>6</v>
      </c>
      <c r="F1803" s="128" t="s">
        <v>7</v>
      </c>
      <c r="G1803" s="129" t="s">
        <v>8</v>
      </c>
    </row>
    <row r="1804" spans="1:11" ht="16.350000000000001" customHeight="1">
      <c r="A1804" s="45">
        <v>1</v>
      </c>
      <c r="B1804" s="120" t="s">
        <v>825</v>
      </c>
      <c r="C1804" s="120" t="s">
        <v>201</v>
      </c>
      <c r="D1804" s="9"/>
      <c r="E1804" s="11"/>
      <c r="F1804" s="130">
        <f>IF(E1804="",0,IF(E1804&gt;0,RANK(E1804,E1796:E1817,1)))</f>
        <v>0</v>
      </c>
      <c r="G1804" s="131">
        <f>VLOOKUP(F1804,$L$3:$M$33,2,0)</f>
        <v>0</v>
      </c>
      <c r="H1804" s="31">
        <v>731219</v>
      </c>
      <c r="I1804" s="101"/>
      <c r="J1804" s="101"/>
      <c r="K1804" s="101"/>
    </row>
    <row r="1805" spans="1:11" ht="16.350000000000001" customHeight="1">
      <c r="A1805" s="45">
        <v>2</v>
      </c>
      <c r="B1805" s="120" t="s">
        <v>576</v>
      </c>
      <c r="C1805" s="120" t="s">
        <v>577</v>
      </c>
      <c r="D1805" s="9"/>
      <c r="E1805" s="11"/>
      <c r="F1805" s="130">
        <f>IF(E1805="",0,IF(E1805&gt;0,RANK(E1805,E1796:E1817,1)))</f>
        <v>0</v>
      </c>
      <c r="G1805" s="131">
        <f t="shared" ref="G1805:G1809" si="374">VLOOKUP(F1805,$L$3:$M$33,2,0)</f>
        <v>0</v>
      </c>
      <c r="H1805" s="31"/>
      <c r="I1805" s="101"/>
      <c r="J1805" s="101"/>
      <c r="K1805" s="101"/>
    </row>
    <row r="1806" spans="1:11" ht="16.350000000000001" customHeight="1">
      <c r="A1806" s="45">
        <v>3</v>
      </c>
      <c r="B1806" s="120" t="s">
        <v>864</v>
      </c>
      <c r="C1806" s="120" t="s">
        <v>84</v>
      </c>
      <c r="D1806" s="9"/>
      <c r="E1806" s="11"/>
      <c r="F1806" s="130">
        <f>IF(E1806="",0,IF(E1806&gt;0,RANK(E1806,E1796:E1817,1)))</f>
        <v>0</v>
      </c>
      <c r="G1806" s="131">
        <f t="shared" si="374"/>
        <v>0</v>
      </c>
      <c r="H1806" s="31"/>
      <c r="I1806" s="101"/>
      <c r="J1806" s="101"/>
      <c r="K1806" s="101"/>
    </row>
    <row r="1807" spans="1:11" ht="16.350000000000001" customHeight="1">
      <c r="A1807" s="45">
        <v>4</v>
      </c>
      <c r="B1807" s="127" t="s">
        <v>772</v>
      </c>
      <c r="C1807" s="120" t="s">
        <v>13</v>
      </c>
      <c r="D1807" s="9"/>
      <c r="E1807" s="11"/>
      <c r="F1807" s="130">
        <f>IF(E1807="",0,IF(E1807&gt;0,RANK(E1807,E1796:E1817,1)))</f>
        <v>0</v>
      </c>
      <c r="G1807" s="131">
        <f t="shared" si="374"/>
        <v>0</v>
      </c>
      <c r="H1807" s="31"/>
      <c r="I1807" s="101"/>
      <c r="J1807" s="101"/>
      <c r="K1807" s="101"/>
    </row>
    <row r="1808" spans="1:11" ht="16.350000000000001" customHeight="1">
      <c r="A1808" s="45">
        <v>5</v>
      </c>
      <c r="B1808" s="127" t="s">
        <v>826</v>
      </c>
      <c r="C1808" s="120" t="s">
        <v>13</v>
      </c>
      <c r="D1808" s="9"/>
      <c r="E1808" s="11"/>
      <c r="F1808" s="130">
        <f>IF(E1808="",0,IF(E1808&gt;0,RANK(E1808,E1796:E1817,1)))</f>
        <v>0</v>
      </c>
      <c r="G1808" s="131">
        <f t="shared" si="374"/>
        <v>0</v>
      </c>
      <c r="H1808" s="31"/>
      <c r="I1808" s="101"/>
      <c r="J1808" s="101"/>
      <c r="K1808" s="101"/>
    </row>
    <row r="1809" spans="1:7" ht="16.350000000000001" customHeight="1">
      <c r="A1809" s="45">
        <v>6</v>
      </c>
      <c r="B1809" s="127" t="s">
        <v>866</v>
      </c>
      <c r="C1809" s="120" t="s">
        <v>13</v>
      </c>
      <c r="D1809" s="9"/>
      <c r="E1809" s="11"/>
      <c r="F1809" s="130">
        <f>IF(E1809="",0,IF(E1809&gt;0,RANK(E1809,E1796:E1817,1)))</f>
        <v>0</v>
      </c>
      <c r="G1809" s="131">
        <f t="shared" si="374"/>
        <v>0</v>
      </c>
    </row>
    <row r="1810" spans="1:7" ht="16.350000000000001" customHeight="1">
      <c r="A1810" s="47" t="s">
        <v>911</v>
      </c>
      <c r="B1810" s="5"/>
      <c r="C1810" s="6"/>
      <c r="F1810" s="133"/>
      <c r="G1810" s="132"/>
    </row>
    <row r="1811" spans="1:7" ht="16.350000000000001" customHeight="1">
      <c r="A1811" s="43" t="s">
        <v>0</v>
      </c>
      <c r="B1811" s="7" t="s">
        <v>1</v>
      </c>
      <c r="C1811" s="8" t="s">
        <v>4</v>
      </c>
      <c r="D1811" s="7" t="s">
        <v>2</v>
      </c>
      <c r="E1811" s="7" t="s">
        <v>6</v>
      </c>
      <c r="F1811" s="128" t="s">
        <v>7</v>
      </c>
      <c r="G1811" s="129" t="s">
        <v>8</v>
      </c>
    </row>
    <row r="1812" spans="1:7" ht="16.350000000000001" customHeight="1">
      <c r="A1812" s="45">
        <v>1</v>
      </c>
      <c r="B1812" s="120" t="s">
        <v>824</v>
      </c>
      <c r="C1812" s="120" t="s">
        <v>14</v>
      </c>
      <c r="D1812" s="9"/>
      <c r="E1812" s="9"/>
      <c r="F1812" s="130">
        <f>IF(E1812="",0,IF(E1812&gt;0,RANK(E1812,E1796:E1817,1)))</f>
        <v>0</v>
      </c>
      <c r="G1812" s="131">
        <f>VLOOKUP(F1812,$L$3:$M$33,2,0)</f>
        <v>0</v>
      </c>
    </row>
    <row r="1813" spans="1:7" ht="16.350000000000001" customHeight="1">
      <c r="A1813" s="45">
        <v>2</v>
      </c>
      <c r="B1813" s="120" t="s">
        <v>771</v>
      </c>
      <c r="C1813" s="120" t="s">
        <v>14</v>
      </c>
      <c r="D1813" s="9"/>
      <c r="E1813" s="9"/>
      <c r="F1813" s="130">
        <f>IF(E1813="",0,IF(E1813&gt;0,RANK(E1813,E1796:E1817,1)))</f>
        <v>0</v>
      </c>
      <c r="G1813" s="131">
        <f t="shared" ref="G1813:G1817" si="375">VLOOKUP(F1813,$L$3:$M$33,2,0)</f>
        <v>0</v>
      </c>
    </row>
    <row r="1814" spans="1:7" ht="16.350000000000001" customHeight="1">
      <c r="A1814" s="45">
        <v>3</v>
      </c>
      <c r="B1814" s="126" t="s">
        <v>677</v>
      </c>
      <c r="C1814" s="120" t="s">
        <v>13</v>
      </c>
      <c r="D1814" s="9"/>
      <c r="E1814" s="9"/>
      <c r="F1814" s="130">
        <f>IF(E1814="",0,IF(E1814&gt;0,RANK(E1814,E1796:E1817,1)))</f>
        <v>0</v>
      </c>
      <c r="G1814" s="131">
        <f t="shared" si="375"/>
        <v>0</v>
      </c>
    </row>
    <row r="1815" spans="1:7" ht="16.350000000000001" customHeight="1">
      <c r="A1815" s="45">
        <v>4</v>
      </c>
      <c r="B1815" s="120" t="s">
        <v>773</v>
      </c>
      <c r="C1815" s="120" t="s">
        <v>88</v>
      </c>
      <c r="D1815" s="9"/>
      <c r="E1815" s="9"/>
      <c r="F1815" s="130">
        <f>IF(E1815="",0,IF(E1815&gt;0,RANK(E1815,E1796:E1817,1)))</f>
        <v>0</v>
      </c>
      <c r="G1815" s="131">
        <f t="shared" si="375"/>
        <v>0</v>
      </c>
    </row>
    <row r="1816" spans="1:7" ht="16.350000000000001" customHeight="1">
      <c r="A1816" s="45">
        <v>5</v>
      </c>
      <c r="B1816" s="120" t="s">
        <v>774</v>
      </c>
      <c r="C1816" s="120" t="s">
        <v>88</v>
      </c>
      <c r="D1816" s="9"/>
      <c r="E1816" s="9"/>
      <c r="F1816" s="130">
        <f>IF(E1816="",0,IF(E1816&gt;0,RANK(E1816,E1796:E1817,1)))</f>
        <v>0</v>
      </c>
      <c r="G1816" s="131">
        <f t="shared" si="375"/>
        <v>0</v>
      </c>
    </row>
    <row r="1817" spans="1:7" ht="15.75" customHeight="1">
      <c r="A1817" s="45">
        <v>6</v>
      </c>
      <c r="B1817" s="127" t="s">
        <v>678</v>
      </c>
      <c r="C1817" s="120" t="s">
        <v>401</v>
      </c>
      <c r="D1817" s="9"/>
      <c r="E1817" s="9"/>
      <c r="F1817" s="130">
        <f>IF(E1817="",0,IF(E1817&gt;0,RANK(E1817,E1796:E1817,1)))</f>
        <v>0</v>
      </c>
      <c r="G1817" s="131">
        <f t="shared" si="375"/>
        <v>0</v>
      </c>
    </row>
    <row r="1818" spans="1:7" s="35" customFormat="1" ht="16.350000000000001" customHeight="1">
      <c r="A1818" s="47" t="s">
        <v>912</v>
      </c>
      <c r="B1818" s="5"/>
      <c r="C1818" s="6"/>
      <c r="D1818" s="38"/>
      <c r="E1818" s="38"/>
      <c r="F1818" s="38"/>
      <c r="G1818" s="49"/>
    </row>
    <row r="1819" spans="1:7" ht="16.350000000000001" customHeight="1">
      <c r="A1819" s="43" t="s">
        <v>0</v>
      </c>
      <c r="B1819" s="7" t="s">
        <v>1</v>
      </c>
      <c r="C1819" s="8" t="s">
        <v>4</v>
      </c>
      <c r="D1819" s="7" t="s">
        <v>2</v>
      </c>
      <c r="E1819" s="7" t="s">
        <v>6</v>
      </c>
      <c r="F1819" s="128" t="s">
        <v>7</v>
      </c>
      <c r="G1819" s="129" t="s">
        <v>8</v>
      </c>
    </row>
    <row r="1820" spans="1:7" ht="16.350000000000001" customHeight="1">
      <c r="A1820" s="45">
        <v>1</v>
      </c>
      <c r="B1820" s="127" t="s">
        <v>780</v>
      </c>
      <c r="C1820" s="120" t="s">
        <v>60</v>
      </c>
      <c r="D1820" s="99"/>
      <c r="E1820" s="99"/>
      <c r="F1820" s="130">
        <f>IF(E1820="",0,IF(E1820&gt;0,RANK(E1820,E1820:E1841,1)))</f>
        <v>0</v>
      </c>
      <c r="G1820" s="131">
        <f>VLOOKUP(F1820,$L$3:$M$33,2,0)</f>
        <v>0</v>
      </c>
    </row>
    <row r="1821" spans="1:7" ht="16.350000000000001" customHeight="1">
      <c r="A1821" s="45">
        <v>2</v>
      </c>
      <c r="B1821" s="120" t="s">
        <v>868</v>
      </c>
      <c r="C1821" s="120" t="s">
        <v>53</v>
      </c>
      <c r="D1821" s="99"/>
      <c r="E1821" s="99"/>
      <c r="F1821" s="130">
        <f>IF(E1821="",0,IF(E1821&gt;0,RANK(E1821,E1820:E1841,1)))</f>
        <v>0</v>
      </c>
      <c r="G1821" s="131">
        <f t="shared" ref="G1821:G1825" si="376">VLOOKUP(F1821,$L$3:$M$33,2,0)</f>
        <v>0</v>
      </c>
    </row>
    <row r="1822" spans="1:7" ht="16.350000000000001" customHeight="1">
      <c r="A1822" s="45">
        <v>3</v>
      </c>
      <c r="B1822" s="120" t="s">
        <v>589</v>
      </c>
      <c r="C1822" s="120" t="s">
        <v>14</v>
      </c>
      <c r="D1822" s="99"/>
      <c r="E1822" s="99"/>
      <c r="F1822" s="130">
        <f>IF(E1822="",0,IF(E1822&gt;0,RANK(E1822,E1820:E1841,1)))</f>
        <v>0</v>
      </c>
      <c r="G1822" s="131">
        <f t="shared" si="376"/>
        <v>0</v>
      </c>
    </row>
    <row r="1823" spans="1:7" ht="16.350000000000001" customHeight="1">
      <c r="A1823" s="45">
        <v>4</v>
      </c>
      <c r="B1823" s="136" t="s">
        <v>198</v>
      </c>
      <c r="C1823" s="136" t="s">
        <v>914</v>
      </c>
      <c r="D1823" s="99"/>
      <c r="E1823" s="99"/>
      <c r="F1823" s="130">
        <f>IF(E1823="",0,IF(E1823&gt;0,RANK(E1823,E1820:E1841,1)))</f>
        <v>0</v>
      </c>
      <c r="G1823" s="131">
        <f t="shared" si="376"/>
        <v>0</v>
      </c>
    </row>
    <row r="1824" spans="1:7" ht="16.350000000000001" customHeight="1">
      <c r="A1824" s="45">
        <v>5</v>
      </c>
      <c r="B1824" s="120" t="s">
        <v>869</v>
      </c>
      <c r="C1824" s="120" t="s">
        <v>807</v>
      </c>
      <c r="D1824" s="99"/>
      <c r="E1824" s="99"/>
      <c r="F1824" s="130">
        <f>IF(E1824="",0,IF(E1824&gt;0,RANK(E1824,E1820:E1841,1)))</f>
        <v>0</v>
      </c>
      <c r="G1824" s="131">
        <f t="shared" si="376"/>
        <v>0</v>
      </c>
    </row>
    <row r="1825" spans="1:7" ht="16.350000000000001" customHeight="1">
      <c r="A1825" s="45">
        <v>6</v>
      </c>
      <c r="B1825" s="120" t="s">
        <v>781</v>
      </c>
      <c r="C1825" s="120" t="s">
        <v>807</v>
      </c>
      <c r="D1825" s="99"/>
      <c r="E1825" s="99"/>
      <c r="F1825" s="130">
        <f>IF(E1825="",0,IF(E1825&gt;0,RANK(E1825,E1820:E1841,1)))</f>
        <v>0</v>
      </c>
      <c r="G1825" s="131">
        <f t="shared" si="376"/>
        <v>0</v>
      </c>
    </row>
    <row r="1826" spans="1:7" s="35" customFormat="1" ht="16.350000000000001" customHeight="1">
      <c r="A1826" s="47" t="s">
        <v>913</v>
      </c>
      <c r="B1826" s="5"/>
      <c r="C1826" s="6"/>
      <c r="D1826" s="38"/>
      <c r="E1826" s="38"/>
      <c r="F1826" s="133"/>
      <c r="G1826" s="132"/>
    </row>
    <row r="1827" spans="1:7" ht="16.350000000000001" customHeight="1">
      <c r="A1827" s="43" t="s">
        <v>0</v>
      </c>
      <c r="B1827" s="7" t="s">
        <v>1</v>
      </c>
      <c r="C1827" s="8" t="s">
        <v>4</v>
      </c>
      <c r="D1827" s="7" t="s">
        <v>2</v>
      </c>
      <c r="E1827" s="7" t="s">
        <v>6</v>
      </c>
      <c r="F1827" s="128" t="s">
        <v>7</v>
      </c>
      <c r="G1827" s="129" t="s">
        <v>8</v>
      </c>
    </row>
    <row r="1828" spans="1:7" ht="16.350000000000001" customHeight="1">
      <c r="A1828" s="45">
        <v>1</v>
      </c>
      <c r="B1828" s="127" t="s">
        <v>486</v>
      </c>
      <c r="C1828" s="120" t="s">
        <v>84</v>
      </c>
      <c r="D1828" s="99"/>
      <c r="E1828" s="99"/>
      <c r="F1828" s="130">
        <f>IF(E1828="",0,IF(E1828&gt;0,RANK(E1828,E1820:E1841,1)))</f>
        <v>0</v>
      </c>
      <c r="G1828" s="131">
        <f>VLOOKUP(F1828,$L$3:$M$33,2,0)</f>
        <v>0</v>
      </c>
    </row>
    <row r="1829" spans="1:7" ht="16.350000000000001" customHeight="1">
      <c r="A1829" s="45">
        <v>2</v>
      </c>
      <c r="B1829" s="126" t="s">
        <v>592</v>
      </c>
      <c r="C1829" s="120" t="s">
        <v>551</v>
      </c>
      <c r="D1829" s="99"/>
      <c r="E1829" s="99"/>
      <c r="F1829" s="130">
        <f t="shared" ref="F1829" si="377">IF(E1829="",0,IF(E1829&gt;0,RANK(E1829,E1821:E1842,1)))</f>
        <v>0</v>
      </c>
      <c r="G1829" s="131">
        <f t="shared" ref="G1829:G1833" si="378">VLOOKUP(F1829,$L$3:$M$33,2,0)</f>
        <v>0</v>
      </c>
    </row>
    <row r="1830" spans="1:7" ht="16.350000000000001" customHeight="1">
      <c r="A1830" s="45">
        <v>3</v>
      </c>
      <c r="B1830" s="126" t="s">
        <v>830</v>
      </c>
      <c r="C1830" s="120" t="s">
        <v>551</v>
      </c>
      <c r="D1830" s="88"/>
      <c r="E1830" s="99"/>
      <c r="F1830" s="130">
        <f>IF(E1830="",0,IF(E1830&gt;0,RANK(E1830,E1820:E1841,1)))</f>
        <v>0</v>
      </c>
      <c r="G1830" s="131">
        <f t="shared" si="378"/>
        <v>0</v>
      </c>
    </row>
    <row r="1831" spans="1:7" ht="16.350000000000001" customHeight="1">
      <c r="A1831" s="45">
        <v>4</v>
      </c>
      <c r="B1831" s="127" t="s">
        <v>682</v>
      </c>
      <c r="C1831" s="120" t="s">
        <v>13</v>
      </c>
      <c r="D1831" s="99"/>
      <c r="E1831" s="99"/>
      <c r="F1831" s="130">
        <f>IF(E1831="",0,IF(E1831&gt;0,RANK(E1831,E1820:E1841,1)))</f>
        <v>0</v>
      </c>
      <c r="G1831" s="131">
        <f t="shared" si="378"/>
        <v>0</v>
      </c>
    </row>
    <row r="1832" spans="1:7" ht="16.350000000000001" customHeight="1">
      <c r="A1832" s="45">
        <v>5</v>
      </c>
      <c r="B1832" s="127" t="s">
        <v>784</v>
      </c>
      <c r="C1832" s="120" t="s">
        <v>13</v>
      </c>
      <c r="D1832" s="99"/>
      <c r="E1832" s="99"/>
      <c r="F1832" s="130">
        <f>IF(E1832="",0,IF(E1832&gt;0,RANK(E1832,E1820:E1841,1)))</f>
        <v>0</v>
      </c>
      <c r="G1832" s="131">
        <f t="shared" si="378"/>
        <v>0</v>
      </c>
    </row>
    <row r="1833" spans="1:7" ht="16.350000000000001" customHeight="1">
      <c r="A1833" s="45">
        <v>6</v>
      </c>
      <c r="B1833" s="127" t="s">
        <v>683</v>
      </c>
      <c r="C1833" s="120" t="s">
        <v>13</v>
      </c>
      <c r="D1833" s="99"/>
      <c r="E1833" s="99"/>
      <c r="F1833" s="130">
        <f>IF(E1833="",0,IF(E1833&gt;0,RANK(E1833,E1820:E1841,1)))</f>
        <v>0</v>
      </c>
      <c r="G1833" s="131">
        <f t="shared" si="378"/>
        <v>0</v>
      </c>
    </row>
    <row r="1834" spans="1:7" ht="16.350000000000001" customHeight="1">
      <c r="A1834" s="47" t="s">
        <v>915</v>
      </c>
      <c r="B1834" s="5"/>
      <c r="C1834" s="6"/>
      <c r="D1834" s="38"/>
      <c r="E1834" s="99"/>
      <c r="F1834" s="133"/>
      <c r="G1834" s="132"/>
    </row>
    <row r="1835" spans="1:7" ht="16.350000000000001" customHeight="1">
      <c r="A1835" s="43" t="s">
        <v>0</v>
      </c>
      <c r="B1835" s="7" t="s">
        <v>1</v>
      </c>
      <c r="C1835" s="8" t="s">
        <v>4</v>
      </c>
      <c r="D1835" s="7" t="s">
        <v>2</v>
      </c>
      <c r="E1835" s="7" t="s">
        <v>6</v>
      </c>
      <c r="F1835" s="128" t="s">
        <v>7</v>
      </c>
      <c r="G1835" s="129" t="s">
        <v>8</v>
      </c>
    </row>
    <row r="1836" spans="1:7" ht="16.350000000000001" customHeight="1">
      <c r="A1836" s="45">
        <v>1</v>
      </c>
      <c r="B1836" s="120" t="s">
        <v>484</v>
      </c>
      <c r="C1836" s="120" t="s">
        <v>485</v>
      </c>
      <c r="D1836" s="99"/>
      <c r="E1836" s="99"/>
      <c r="F1836" s="130">
        <f>IF(E1836="",0,IF(E1836&gt;0,RANK(E1836,E1820:E1841,1)))</f>
        <v>0</v>
      </c>
      <c r="G1836" s="131">
        <f>VLOOKUP(F1836,$L$3:$M$33,2,0)</f>
        <v>0</v>
      </c>
    </row>
    <row r="1837" spans="1:7" ht="16.350000000000001" customHeight="1">
      <c r="A1837" s="45">
        <v>2</v>
      </c>
      <c r="B1837" s="120" t="s">
        <v>783</v>
      </c>
      <c r="C1837" s="120" t="s">
        <v>84</v>
      </c>
      <c r="D1837" s="99"/>
      <c r="E1837" s="99"/>
      <c r="F1837" s="130">
        <f>IF(E1837="",0,IF(E1837&gt;0,RANK(E1837,E1820:E1841,1)))</f>
        <v>0</v>
      </c>
      <c r="G1837" s="131">
        <f t="shared" ref="G1837:G1841" si="379">VLOOKUP(F1837,$L$3:$M$33,2,0)</f>
        <v>0</v>
      </c>
    </row>
    <row r="1838" spans="1:7" ht="16.350000000000001" customHeight="1">
      <c r="A1838" s="45">
        <v>3</v>
      </c>
      <c r="B1838" s="120" t="s">
        <v>684</v>
      </c>
      <c r="C1838" s="120" t="s">
        <v>13</v>
      </c>
      <c r="D1838" s="88"/>
      <c r="E1838" s="99"/>
      <c r="F1838" s="130">
        <f>IF(E1838="",0,IF(E1838&gt;0,RANK(E1838,E1820:E1841,1)))</f>
        <v>0</v>
      </c>
      <c r="G1838" s="131">
        <f t="shared" si="379"/>
        <v>0</v>
      </c>
    </row>
    <row r="1839" spans="1:7" ht="16.350000000000001" customHeight="1">
      <c r="A1839" s="45">
        <v>4</v>
      </c>
      <c r="B1839" s="127" t="s">
        <v>785</v>
      </c>
      <c r="C1839" s="120" t="s">
        <v>13</v>
      </c>
      <c r="D1839" s="99"/>
      <c r="E1839" s="99"/>
      <c r="F1839" s="130">
        <f>IF(E1839="",0,IF(E1839&gt;0,RANK(E1839,E1820:E1841,1)))</f>
        <v>0</v>
      </c>
      <c r="G1839" s="131">
        <f t="shared" si="379"/>
        <v>0</v>
      </c>
    </row>
    <row r="1840" spans="1:7" ht="16.350000000000001" customHeight="1">
      <c r="A1840" s="45">
        <v>5</v>
      </c>
      <c r="B1840" s="127" t="s">
        <v>832</v>
      </c>
      <c r="C1840" s="120" t="s">
        <v>13</v>
      </c>
      <c r="D1840" s="99"/>
      <c r="E1840" s="99"/>
      <c r="F1840" s="130">
        <f>IF(E1840="",0,IF(E1840&gt;0,RANK(E1840,E1820:E1841,1)))</f>
        <v>0</v>
      </c>
      <c r="G1840" s="131">
        <f t="shared" si="379"/>
        <v>0</v>
      </c>
    </row>
    <row r="1841" spans="1:7" ht="16.350000000000001" customHeight="1">
      <c r="A1841" s="45">
        <v>6</v>
      </c>
      <c r="B1841" s="88"/>
      <c r="C1841" s="88"/>
      <c r="D1841" s="99"/>
      <c r="E1841" s="99"/>
      <c r="F1841" s="130">
        <f>IF(E1841="",0,IF(E1841&gt;0,RANK(E1841,E1820:E1841,1)))</f>
        <v>0</v>
      </c>
      <c r="G1841" s="131">
        <f t="shared" si="379"/>
        <v>0</v>
      </c>
    </row>
    <row r="1842" spans="1:7" s="35" customFormat="1" ht="16.350000000000001" customHeight="1">
      <c r="A1842" s="47" t="s">
        <v>916</v>
      </c>
      <c r="B1842" s="5"/>
      <c r="C1842" s="6"/>
      <c r="D1842" s="38"/>
      <c r="E1842" s="38"/>
      <c r="F1842" s="38"/>
      <c r="G1842" s="49"/>
    </row>
    <row r="1843" spans="1:7" ht="16.350000000000001" customHeight="1">
      <c r="A1843" s="43" t="s">
        <v>0</v>
      </c>
      <c r="B1843" s="7" t="s">
        <v>1</v>
      </c>
      <c r="C1843" s="8" t="s">
        <v>4</v>
      </c>
      <c r="D1843" s="7" t="s">
        <v>2</v>
      </c>
      <c r="E1843" s="7" t="s">
        <v>6</v>
      </c>
      <c r="F1843" s="7" t="s">
        <v>7</v>
      </c>
      <c r="G1843" s="44" t="s">
        <v>8</v>
      </c>
    </row>
    <row r="1844" spans="1:7" ht="16.350000000000001" customHeight="1">
      <c r="A1844" s="45">
        <v>1</v>
      </c>
      <c r="B1844" s="127" t="s">
        <v>872</v>
      </c>
      <c r="C1844" s="120" t="s">
        <v>14</v>
      </c>
      <c r="D1844" s="99"/>
      <c r="E1844" s="99"/>
      <c r="F1844" s="10">
        <f>IF(E1844="",0,IF(E1844&gt;0,RANK(E1844,E1844:E1849,1)))</f>
        <v>0</v>
      </c>
      <c r="G1844" s="50">
        <f t="shared" ref="G1844:G1849" si="380">VLOOKUP(F1844,$O$3:$P$33,2,0)</f>
        <v>0</v>
      </c>
    </row>
    <row r="1845" spans="1:7" ht="16.350000000000001" customHeight="1">
      <c r="A1845" s="45">
        <v>2</v>
      </c>
      <c r="B1845" s="120" t="s">
        <v>601</v>
      </c>
      <c r="C1845" s="120" t="s">
        <v>870</v>
      </c>
      <c r="D1845" s="99"/>
      <c r="E1845" s="99"/>
      <c r="F1845" s="10">
        <f>IF(E1845="",0,IF(E1845&gt;0,RANK(E1845,E1844:E1849,1)))</f>
        <v>0</v>
      </c>
      <c r="G1845" s="50">
        <f t="shared" si="380"/>
        <v>0</v>
      </c>
    </row>
    <row r="1846" spans="1:7" ht="16.350000000000001" customHeight="1">
      <c r="A1846" s="45">
        <v>3</v>
      </c>
      <c r="B1846" s="120" t="s">
        <v>834</v>
      </c>
      <c r="C1846" s="120" t="s">
        <v>84</v>
      </c>
      <c r="D1846" s="99"/>
      <c r="E1846" s="99"/>
      <c r="F1846" s="10">
        <f>IF(E1846="",0,IF(E1846&gt;0,RANK(E1846,E1844:E1849,1)))</f>
        <v>0</v>
      </c>
      <c r="G1846" s="50">
        <f t="shared" si="380"/>
        <v>0</v>
      </c>
    </row>
    <row r="1847" spans="1:7" ht="16.350000000000001" customHeight="1">
      <c r="A1847" s="45">
        <v>4</v>
      </c>
      <c r="B1847" s="120" t="s">
        <v>688</v>
      </c>
      <c r="C1847" s="120" t="s">
        <v>907</v>
      </c>
      <c r="D1847" s="99"/>
      <c r="E1847" s="99"/>
      <c r="F1847" s="10">
        <f>IF(E1847="",0,IF(E1847&gt;0,RANK(E1847,E1844:E1849,1)))</f>
        <v>0</v>
      </c>
      <c r="G1847" s="50">
        <f t="shared" si="380"/>
        <v>0</v>
      </c>
    </row>
    <row r="1848" spans="1:7" ht="16.350000000000001" customHeight="1">
      <c r="A1848" s="45">
        <v>5</v>
      </c>
      <c r="B1848" s="120" t="s">
        <v>605</v>
      </c>
      <c r="C1848" s="120" t="s">
        <v>88</v>
      </c>
      <c r="D1848" s="99"/>
      <c r="E1848" s="99"/>
      <c r="F1848" s="10">
        <f>IF(E1848="",0,IF(E1848&gt;0,RANK(E1848,E1844:E1849,1)))</f>
        <v>0</v>
      </c>
      <c r="G1848" s="50">
        <f t="shared" si="380"/>
        <v>0</v>
      </c>
    </row>
    <row r="1849" spans="1:7" ht="16.350000000000001" customHeight="1">
      <c r="A1849" s="45">
        <v>6</v>
      </c>
      <c r="B1849" s="100"/>
      <c r="C1849" s="89"/>
      <c r="D1849" s="99"/>
      <c r="E1849" s="99"/>
      <c r="F1849" s="10">
        <f>IF(E1849="",0,IF(E1849&gt;0,RANK(E1849,E1844:E1849,1)))</f>
        <v>0</v>
      </c>
      <c r="G1849" s="50">
        <f t="shared" si="380"/>
        <v>0</v>
      </c>
    </row>
    <row r="1850" spans="1:7" s="35" customFormat="1" ht="16.350000000000001" customHeight="1">
      <c r="A1850" s="47" t="s">
        <v>917</v>
      </c>
      <c r="B1850" s="5"/>
      <c r="C1850" s="6"/>
      <c r="D1850" s="38"/>
      <c r="E1850" s="38"/>
      <c r="F1850" s="38"/>
      <c r="G1850" s="49"/>
    </row>
    <row r="1851" spans="1:7" ht="16.350000000000001" customHeight="1">
      <c r="A1851" s="43" t="s">
        <v>0</v>
      </c>
      <c r="B1851" s="7" t="s">
        <v>1</v>
      </c>
      <c r="C1851" s="8" t="s">
        <v>4</v>
      </c>
      <c r="D1851" s="7" t="s">
        <v>2</v>
      </c>
      <c r="E1851" s="7" t="s">
        <v>6</v>
      </c>
      <c r="F1851" s="7" t="s">
        <v>7</v>
      </c>
      <c r="G1851" s="44" t="s">
        <v>8</v>
      </c>
    </row>
    <row r="1852" spans="1:7" ht="16.350000000000001" customHeight="1">
      <c r="A1852" s="45">
        <v>1</v>
      </c>
      <c r="B1852" s="1"/>
      <c r="C1852" s="1"/>
      <c r="D1852" s="9"/>
      <c r="E1852" s="9"/>
      <c r="F1852" s="10">
        <f>IF(E1852="",0,IF(E1852&gt;0,RANK(E1852,E1852:E1857,1)))</f>
        <v>0</v>
      </c>
      <c r="G1852" s="50">
        <f t="shared" ref="G1852:G1857" si="381">VLOOKUP(F1852,$O$3:$P$33,2,0)</f>
        <v>0</v>
      </c>
    </row>
    <row r="1853" spans="1:7" ht="16.350000000000001" customHeight="1">
      <c r="A1853" s="45">
        <v>2</v>
      </c>
      <c r="B1853" s="120" t="s">
        <v>873</v>
      </c>
      <c r="C1853" s="120" t="s">
        <v>64</v>
      </c>
      <c r="D1853" s="9"/>
      <c r="E1853" s="9"/>
      <c r="F1853" s="10">
        <f>IF(E1853="",0,IF(E1853&gt;0,RANK(E1853,E1852:E1857,1)))</f>
        <v>0</v>
      </c>
      <c r="G1853" s="50">
        <f t="shared" si="381"/>
        <v>0</v>
      </c>
    </row>
    <row r="1854" spans="1:7" ht="16.350000000000001" customHeight="1">
      <c r="A1854" s="45">
        <v>3</v>
      </c>
      <c r="B1854" s="120" t="s">
        <v>874</v>
      </c>
      <c r="C1854" s="120" t="s">
        <v>201</v>
      </c>
      <c r="D1854" s="9"/>
      <c r="E1854" s="9"/>
      <c r="F1854" s="10">
        <f>IF(E1854="",0,IF(E1854&gt;0,RANK(E1854,E1852:E1857,1)))</f>
        <v>0</v>
      </c>
      <c r="G1854" s="50">
        <f t="shared" si="381"/>
        <v>0</v>
      </c>
    </row>
    <row r="1855" spans="1:7" ht="16.350000000000001" customHeight="1">
      <c r="A1855" s="45">
        <v>4</v>
      </c>
      <c r="B1855" s="120" t="s">
        <v>490</v>
      </c>
      <c r="C1855" s="120" t="s">
        <v>98</v>
      </c>
      <c r="D1855" s="9"/>
      <c r="E1855" s="9"/>
      <c r="F1855" s="10">
        <f>IF(E1855="",0,IF(E1855&gt;0,RANK(E1855,E1852:E1857,1)))</f>
        <v>0</v>
      </c>
      <c r="G1855" s="50">
        <f t="shared" si="381"/>
        <v>0</v>
      </c>
    </row>
    <row r="1856" spans="1:7" ht="16.350000000000001" customHeight="1">
      <c r="A1856" s="45">
        <v>5</v>
      </c>
      <c r="B1856" s="15"/>
      <c r="C1856" s="15"/>
      <c r="D1856" s="9"/>
      <c r="E1856" s="9"/>
      <c r="F1856" s="10">
        <f>IF(E1856="",0,IF(E1856&gt;0,RANK(E1856,E1852:E1857,1)))</f>
        <v>0</v>
      </c>
      <c r="G1856" s="50">
        <f t="shared" si="381"/>
        <v>0</v>
      </c>
    </row>
    <row r="1857" spans="1:9" ht="16.350000000000001" customHeight="1">
      <c r="A1857" s="45">
        <v>6</v>
      </c>
      <c r="B1857" s="3"/>
      <c r="C1857" s="2"/>
      <c r="D1857" s="9"/>
      <c r="E1857" s="9"/>
      <c r="F1857" s="10">
        <f>IF(E1857="",0,IF(E1857&gt;0,RANK(E1857,E1852:E1857,1)))</f>
        <v>0</v>
      </c>
      <c r="G1857" s="50">
        <f t="shared" si="381"/>
        <v>0</v>
      </c>
    </row>
    <row r="1858" spans="1:9" s="35" customFormat="1" ht="16.350000000000001" customHeight="1">
      <c r="A1858" s="47" t="s">
        <v>918</v>
      </c>
      <c r="B1858" s="5"/>
      <c r="C1858" s="6"/>
      <c r="D1858" s="38"/>
      <c r="E1858" s="38"/>
      <c r="F1858" s="38"/>
      <c r="G1858" s="49"/>
    </row>
    <row r="1859" spans="1:9" ht="16.350000000000001" customHeight="1">
      <c r="A1859" s="43" t="s">
        <v>0</v>
      </c>
      <c r="B1859" s="7" t="s">
        <v>1</v>
      </c>
      <c r="C1859" s="149" t="s">
        <v>4</v>
      </c>
      <c r="D1859" s="7" t="s">
        <v>2</v>
      </c>
      <c r="E1859" s="7" t="s">
        <v>6</v>
      </c>
      <c r="F1859" s="128" t="s">
        <v>7</v>
      </c>
      <c r="G1859" s="129" t="s">
        <v>8</v>
      </c>
      <c r="I1859" s="110"/>
    </row>
    <row r="1860" spans="1:9" ht="16.350000000000001" customHeight="1">
      <c r="A1860" s="45">
        <v>1</v>
      </c>
      <c r="B1860" s="2"/>
      <c r="C1860" s="121" t="s">
        <v>919</v>
      </c>
      <c r="D1860" s="119"/>
      <c r="E1860" s="9"/>
      <c r="F1860" s="130">
        <f t="shared" ref="F1860:F1865" si="382">IF(E1860="",0,IF(E1860&gt;0,RANK(E1860,$E$1860:$E$1873,1)))</f>
        <v>0</v>
      </c>
      <c r="G1860" s="131">
        <f>VLOOKUP(F1860,$O$3:$P$33,2,0)</f>
        <v>0</v>
      </c>
      <c r="I1860" s="110"/>
    </row>
    <row r="1861" spans="1:9" ht="16.350000000000001" customHeight="1">
      <c r="A1861" s="45">
        <v>2</v>
      </c>
      <c r="B1861" s="162"/>
      <c r="C1861" s="121" t="s">
        <v>920</v>
      </c>
      <c r="D1861" s="119"/>
      <c r="E1861" s="9"/>
      <c r="F1861" s="130">
        <f t="shared" si="382"/>
        <v>0</v>
      </c>
      <c r="G1861" s="131">
        <f t="shared" ref="G1861:G1865" si="383">VLOOKUP(F1861,$O$3:$P$33,2,0)</f>
        <v>0</v>
      </c>
      <c r="I1861" s="110"/>
    </row>
    <row r="1862" spans="1:9" ht="16.350000000000001" customHeight="1">
      <c r="A1862" s="45">
        <v>3</v>
      </c>
      <c r="B1862" s="163"/>
      <c r="C1862" s="121" t="s">
        <v>921</v>
      </c>
      <c r="D1862" s="119"/>
      <c r="E1862" s="9"/>
      <c r="F1862" s="130">
        <f t="shared" si="382"/>
        <v>0</v>
      </c>
      <c r="G1862" s="131">
        <f t="shared" si="383"/>
        <v>0</v>
      </c>
      <c r="I1862" s="110"/>
    </row>
    <row r="1863" spans="1:9" ht="16.350000000000001" customHeight="1">
      <c r="A1863" s="45">
        <v>4</v>
      </c>
      <c r="B1863" s="163"/>
      <c r="C1863" s="121" t="s">
        <v>922</v>
      </c>
      <c r="D1863" s="119"/>
      <c r="E1863" s="9"/>
      <c r="F1863" s="130">
        <f t="shared" si="382"/>
        <v>0</v>
      </c>
      <c r="G1863" s="131">
        <f t="shared" si="383"/>
        <v>0</v>
      </c>
      <c r="I1863" s="110"/>
    </row>
    <row r="1864" spans="1:9" ht="16.350000000000001" customHeight="1">
      <c r="A1864" s="45">
        <v>5</v>
      </c>
      <c r="B1864" s="163"/>
      <c r="C1864" s="121" t="s">
        <v>923</v>
      </c>
      <c r="D1864" s="119"/>
      <c r="E1864" s="9"/>
      <c r="F1864" s="130">
        <f t="shared" si="382"/>
        <v>0</v>
      </c>
      <c r="G1864" s="131">
        <f t="shared" si="383"/>
        <v>0</v>
      </c>
      <c r="I1864" s="110"/>
    </row>
    <row r="1865" spans="1:9" ht="16.350000000000001" customHeight="1">
      <c r="A1865" s="45">
        <v>6</v>
      </c>
      <c r="B1865" s="163"/>
      <c r="C1865" s="121" t="s">
        <v>924</v>
      </c>
      <c r="D1865" s="119"/>
      <c r="E1865" s="9"/>
      <c r="F1865" s="130">
        <f t="shared" si="382"/>
        <v>0</v>
      </c>
      <c r="G1865" s="131">
        <f t="shared" si="383"/>
        <v>0</v>
      </c>
      <c r="I1865" s="110"/>
    </row>
    <row r="1866" spans="1:9" ht="16.350000000000001" customHeight="1">
      <c r="A1866" s="47" t="s">
        <v>930</v>
      </c>
      <c r="B1866" s="5"/>
      <c r="C1866" s="6"/>
      <c r="D1866" s="38"/>
      <c r="E1866" s="38"/>
      <c r="F1866" s="133"/>
      <c r="G1866" s="132"/>
      <c r="I1866" s="110"/>
    </row>
    <row r="1867" spans="1:9" ht="16.350000000000001" customHeight="1">
      <c r="A1867" s="43" t="s">
        <v>0</v>
      </c>
      <c r="B1867" s="7" t="s">
        <v>1</v>
      </c>
      <c r="C1867" s="149" t="s">
        <v>4</v>
      </c>
      <c r="D1867" s="7" t="s">
        <v>2</v>
      </c>
      <c r="E1867" s="7" t="s">
        <v>6</v>
      </c>
      <c r="F1867" s="128" t="s">
        <v>7</v>
      </c>
      <c r="G1867" s="129" t="s">
        <v>8</v>
      </c>
      <c r="I1867" s="110"/>
    </row>
    <row r="1868" spans="1:9" ht="16.350000000000001" customHeight="1">
      <c r="A1868" s="45">
        <v>1</v>
      </c>
      <c r="B1868" s="2"/>
      <c r="C1868" s="121" t="s">
        <v>925</v>
      </c>
      <c r="D1868" s="119"/>
      <c r="E1868" s="9"/>
      <c r="F1868" s="130">
        <f t="shared" ref="F1868:F1873" si="384">IF(E1868="",0,IF(E1868&gt;0,RANK(E1868,$E$1860:$E$1873,1)))</f>
        <v>0</v>
      </c>
      <c r="G1868" s="131">
        <f t="shared" ref="G1868:G1873" si="385">VLOOKUP(F1868,$O$3:$P$33,2,0)</f>
        <v>0</v>
      </c>
      <c r="I1868" s="110"/>
    </row>
    <row r="1869" spans="1:9" ht="16.350000000000001" customHeight="1">
      <c r="A1869" s="45">
        <v>2</v>
      </c>
      <c r="B1869" s="162"/>
      <c r="C1869" s="121" t="s">
        <v>926</v>
      </c>
      <c r="D1869" s="119"/>
      <c r="E1869" s="9"/>
      <c r="F1869" s="130">
        <f t="shared" si="384"/>
        <v>0</v>
      </c>
      <c r="G1869" s="131">
        <f t="shared" si="385"/>
        <v>0</v>
      </c>
      <c r="I1869" s="110"/>
    </row>
    <row r="1870" spans="1:9" ht="16.350000000000001" customHeight="1">
      <c r="A1870" s="45">
        <v>3</v>
      </c>
      <c r="B1870" s="163"/>
      <c r="C1870" s="121" t="s">
        <v>369</v>
      </c>
      <c r="D1870" s="119"/>
      <c r="E1870" s="9"/>
      <c r="F1870" s="130">
        <f t="shared" si="384"/>
        <v>0</v>
      </c>
      <c r="G1870" s="131">
        <f t="shared" si="385"/>
        <v>0</v>
      </c>
      <c r="I1870" s="110"/>
    </row>
    <row r="1871" spans="1:9" ht="16.350000000000001" customHeight="1">
      <c r="A1871" s="45">
        <v>4</v>
      </c>
      <c r="B1871" s="163"/>
      <c r="C1871" s="121" t="s">
        <v>927</v>
      </c>
      <c r="D1871" s="119"/>
      <c r="E1871" s="9"/>
      <c r="F1871" s="130">
        <f t="shared" si="384"/>
        <v>0</v>
      </c>
      <c r="G1871" s="131">
        <f t="shared" si="385"/>
        <v>0</v>
      </c>
      <c r="I1871" s="110"/>
    </row>
    <row r="1872" spans="1:9" ht="16.350000000000001" customHeight="1">
      <c r="A1872" s="45">
        <v>5</v>
      </c>
      <c r="B1872" s="163"/>
      <c r="C1872" s="121" t="s">
        <v>928</v>
      </c>
      <c r="D1872" s="119"/>
      <c r="E1872" s="9"/>
      <c r="F1872" s="130">
        <f t="shared" si="384"/>
        <v>0</v>
      </c>
      <c r="G1872" s="131">
        <f t="shared" si="385"/>
        <v>0</v>
      </c>
      <c r="I1872" s="110"/>
    </row>
    <row r="1873" spans="1:9" ht="16.350000000000001" customHeight="1">
      <c r="A1873" s="45">
        <v>6</v>
      </c>
      <c r="B1873" s="163"/>
      <c r="C1873" s="121" t="s">
        <v>929</v>
      </c>
      <c r="D1873" s="119"/>
      <c r="E1873" s="9"/>
      <c r="F1873" s="130">
        <f t="shared" si="384"/>
        <v>0</v>
      </c>
      <c r="G1873" s="131">
        <f t="shared" si="385"/>
        <v>0</v>
      </c>
      <c r="I1873" s="110"/>
    </row>
    <row r="1874" spans="1:9" ht="16.350000000000001" customHeight="1">
      <c r="A1874" s="47" t="s">
        <v>931</v>
      </c>
      <c r="B1874" s="5"/>
      <c r="C1874" s="6"/>
      <c r="D1874" s="38"/>
      <c r="E1874" s="38"/>
      <c r="F1874" s="38"/>
      <c r="G1874" s="49"/>
      <c r="I1874" s="110"/>
    </row>
    <row r="1875" spans="1:9" ht="16.350000000000001" customHeight="1">
      <c r="A1875" s="43" t="s">
        <v>0</v>
      </c>
      <c r="B1875" s="7" t="s">
        <v>1</v>
      </c>
      <c r="C1875" s="149" t="s">
        <v>4</v>
      </c>
      <c r="D1875" s="7" t="s">
        <v>2</v>
      </c>
      <c r="E1875" s="7" t="s">
        <v>6</v>
      </c>
      <c r="F1875" s="97" t="s">
        <v>7</v>
      </c>
      <c r="G1875" s="159" t="s">
        <v>8</v>
      </c>
      <c r="I1875" s="110"/>
    </row>
    <row r="1876" spans="1:9" ht="16.350000000000001" customHeight="1">
      <c r="A1876" s="45">
        <v>1</v>
      </c>
      <c r="B1876" s="2"/>
      <c r="C1876" s="121" t="s">
        <v>364</v>
      </c>
      <c r="D1876" s="119"/>
      <c r="E1876" s="9"/>
      <c r="F1876" s="118">
        <f>IF(E1876="",0,IF(E1876&gt;0,RANK(E1876,$E$1876:$E$1881,1)))</f>
        <v>0</v>
      </c>
      <c r="G1876" s="50">
        <f t="shared" ref="G1876:G1881" si="386">VLOOKUP(F1876,$O$3:$P$33,2,0)</f>
        <v>0</v>
      </c>
      <c r="I1876" s="110"/>
    </row>
    <row r="1877" spans="1:9" ht="16.350000000000001" customHeight="1">
      <c r="A1877" s="45">
        <v>2</v>
      </c>
      <c r="B1877" s="162"/>
      <c r="C1877" s="121" t="s">
        <v>932</v>
      </c>
      <c r="D1877" s="119"/>
      <c r="E1877" s="9"/>
      <c r="F1877" s="118">
        <f t="shared" ref="F1877:F1881" si="387">IF(E1877="",0,IF(E1877&gt;0,RANK(E1877,$E$1876:$E$1881,1)))</f>
        <v>0</v>
      </c>
      <c r="G1877" s="50">
        <f t="shared" si="386"/>
        <v>0</v>
      </c>
      <c r="I1877" s="110"/>
    </row>
    <row r="1878" spans="1:9" ht="16.350000000000001" customHeight="1">
      <c r="A1878" s="45">
        <v>3</v>
      </c>
      <c r="B1878" s="163"/>
      <c r="C1878" s="121" t="s">
        <v>63</v>
      </c>
      <c r="D1878" s="119"/>
      <c r="E1878" s="9"/>
      <c r="F1878" s="118">
        <f t="shared" si="387"/>
        <v>0</v>
      </c>
      <c r="G1878" s="50">
        <f t="shared" si="386"/>
        <v>0</v>
      </c>
      <c r="I1878" s="110"/>
    </row>
    <row r="1879" spans="1:9" ht="16.350000000000001" customHeight="1">
      <c r="A1879" s="45">
        <v>4</v>
      </c>
      <c r="B1879" s="163"/>
      <c r="C1879" s="121" t="s">
        <v>370</v>
      </c>
      <c r="D1879" s="119"/>
      <c r="E1879" s="9"/>
      <c r="F1879" s="118">
        <f t="shared" si="387"/>
        <v>0</v>
      </c>
      <c r="G1879" s="50">
        <f t="shared" si="386"/>
        <v>0</v>
      </c>
      <c r="I1879" s="110"/>
    </row>
    <row r="1880" spans="1:9" ht="16.350000000000001" customHeight="1">
      <c r="A1880" s="45">
        <v>5</v>
      </c>
      <c r="B1880" s="163"/>
      <c r="C1880" s="121" t="s">
        <v>371</v>
      </c>
      <c r="D1880" s="119"/>
      <c r="E1880" s="9"/>
      <c r="F1880" s="118">
        <f t="shared" si="387"/>
        <v>0</v>
      </c>
      <c r="G1880" s="50">
        <f t="shared" si="386"/>
        <v>0</v>
      </c>
      <c r="I1880" s="110"/>
    </row>
    <row r="1881" spans="1:9" ht="16.350000000000001" customHeight="1">
      <c r="A1881" s="45">
        <v>6</v>
      </c>
      <c r="B1881" s="163"/>
      <c r="C1881" s="121"/>
      <c r="D1881" s="119"/>
      <c r="E1881" s="9"/>
      <c r="F1881" s="118">
        <f t="shared" si="387"/>
        <v>0</v>
      </c>
      <c r="G1881" s="50">
        <f t="shared" si="386"/>
        <v>0</v>
      </c>
      <c r="I1881" s="110"/>
    </row>
    <row r="1882" spans="1:9" ht="16.350000000000001" customHeight="1">
      <c r="A1882" s="47" t="s">
        <v>933</v>
      </c>
      <c r="B1882" s="5"/>
      <c r="C1882" s="6"/>
      <c r="D1882" s="38"/>
      <c r="E1882" s="38"/>
      <c r="F1882" s="38"/>
      <c r="G1882" s="49"/>
      <c r="I1882" s="110"/>
    </row>
    <row r="1883" spans="1:9" ht="16.350000000000001" customHeight="1">
      <c r="A1883" s="43" t="s">
        <v>0</v>
      </c>
      <c r="B1883" s="7" t="s">
        <v>1</v>
      </c>
      <c r="C1883" s="149" t="s">
        <v>4</v>
      </c>
      <c r="D1883" s="7" t="s">
        <v>2</v>
      </c>
      <c r="E1883" s="7" t="s">
        <v>6</v>
      </c>
      <c r="F1883" s="128" t="s">
        <v>7</v>
      </c>
      <c r="G1883" s="129" t="s">
        <v>8</v>
      </c>
      <c r="I1883" s="110"/>
    </row>
    <row r="1884" spans="1:9" ht="16.350000000000001" customHeight="1">
      <c r="A1884" s="45">
        <v>1</v>
      </c>
      <c r="B1884" s="2"/>
      <c r="C1884" s="121" t="s">
        <v>935</v>
      </c>
      <c r="D1884" s="119"/>
      <c r="E1884" s="9"/>
      <c r="F1884" s="130">
        <f>IF(E1884="",0,IF(E1884&gt;0,RANK(E1884,$E$1884:$E$1905,1)))</f>
        <v>0</v>
      </c>
      <c r="G1884" s="131">
        <f t="shared" ref="G1884:G1889" si="388">VLOOKUP(F1884,$O$3:$P$33,2,0)</f>
        <v>0</v>
      </c>
      <c r="I1884" s="110"/>
    </row>
    <row r="1885" spans="1:9" ht="16.350000000000001" customHeight="1">
      <c r="A1885" s="45">
        <v>2</v>
      </c>
      <c r="B1885" s="162"/>
      <c r="C1885" s="121" t="s">
        <v>936</v>
      </c>
      <c r="D1885" s="119"/>
      <c r="E1885" s="9"/>
      <c r="F1885" s="130">
        <f t="shared" ref="F1885:F1889" si="389">IF(E1885="",0,IF(E1885&gt;0,RANK(E1885,$E$1884:$E$1905,1)))</f>
        <v>0</v>
      </c>
      <c r="G1885" s="131">
        <f t="shared" si="388"/>
        <v>0</v>
      </c>
      <c r="I1885" s="110"/>
    </row>
    <row r="1886" spans="1:9" ht="16.350000000000001" customHeight="1">
      <c r="A1886" s="45">
        <v>3</v>
      </c>
      <c r="B1886" s="163"/>
      <c r="C1886" s="121" t="s">
        <v>364</v>
      </c>
      <c r="D1886" s="119"/>
      <c r="E1886" s="9"/>
      <c r="F1886" s="130">
        <f t="shared" si="389"/>
        <v>0</v>
      </c>
      <c r="G1886" s="131">
        <f t="shared" si="388"/>
        <v>0</v>
      </c>
      <c r="I1886" s="110"/>
    </row>
    <row r="1887" spans="1:9" ht="16.350000000000001" customHeight="1">
      <c r="A1887" s="45">
        <v>4</v>
      </c>
      <c r="B1887" s="163"/>
      <c r="C1887" s="121" t="s">
        <v>62</v>
      </c>
      <c r="D1887" s="119"/>
      <c r="E1887" s="9"/>
      <c r="F1887" s="130">
        <f t="shared" si="389"/>
        <v>0</v>
      </c>
      <c r="G1887" s="131">
        <f t="shared" si="388"/>
        <v>0</v>
      </c>
      <c r="I1887" s="110"/>
    </row>
    <row r="1888" spans="1:9" ht="16.350000000000001" customHeight="1">
      <c r="A1888" s="45">
        <v>5</v>
      </c>
      <c r="B1888" s="163"/>
      <c r="C1888" s="121" t="s">
        <v>937</v>
      </c>
      <c r="D1888" s="119"/>
      <c r="E1888" s="9"/>
      <c r="F1888" s="130">
        <f t="shared" si="389"/>
        <v>0</v>
      </c>
      <c r="G1888" s="131">
        <f t="shared" si="388"/>
        <v>0</v>
      </c>
      <c r="I1888" s="110"/>
    </row>
    <row r="1889" spans="1:9" ht="16.350000000000001" customHeight="1">
      <c r="A1889" s="45">
        <v>6</v>
      </c>
      <c r="B1889" s="163"/>
      <c r="C1889" s="121"/>
      <c r="D1889" s="119"/>
      <c r="E1889" s="9"/>
      <c r="F1889" s="130">
        <f t="shared" si="389"/>
        <v>0</v>
      </c>
      <c r="G1889" s="131">
        <f t="shared" si="388"/>
        <v>0</v>
      </c>
      <c r="I1889" s="110"/>
    </row>
    <row r="1890" spans="1:9" ht="16.350000000000001" customHeight="1">
      <c r="A1890" s="47" t="s">
        <v>934</v>
      </c>
      <c r="B1890" s="5"/>
      <c r="C1890" s="6"/>
      <c r="D1890" s="38"/>
      <c r="E1890" s="38"/>
      <c r="F1890" s="133"/>
      <c r="G1890" s="132"/>
      <c r="I1890" s="110"/>
    </row>
    <row r="1891" spans="1:9" ht="16.350000000000001" customHeight="1">
      <c r="A1891" s="43" t="s">
        <v>0</v>
      </c>
      <c r="B1891" s="7" t="s">
        <v>1</v>
      </c>
      <c r="C1891" s="149" t="s">
        <v>4</v>
      </c>
      <c r="D1891" s="7" t="s">
        <v>2</v>
      </c>
      <c r="E1891" s="7" t="s">
        <v>6</v>
      </c>
      <c r="F1891" s="128" t="s">
        <v>7</v>
      </c>
      <c r="G1891" s="129" t="s">
        <v>8</v>
      </c>
      <c r="I1891" s="110"/>
    </row>
    <row r="1892" spans="1:9" ht="16.350000000000001" customHeight="1">
      <c r="A1892" s="45">
        <v>1</v>
      </c>
      <c r="B1892" s="2"/>
      <c r="C1892" s="121" t="s">
        <v>939</v>
      </c>
      <c r="D1892" s="119"/>
      <c r="E1892" s="9"/>
      <c r="F1892" s="130">
        <f>IF(E1892="",0,IF(E1892&gt;0,RANK(E1892,$E$1884:$E$1905,1)))</f>
        <v>0</v>
      </c>
      <c r="G1892" s="131">
        <f t="shared" ref="G1892:G1897" si="390">VLOOKUP(F1892,$O$3:$P$33,2,0)</f>
        <v>0</v>
      </c>
      <c r="I1892" s="110"/>
    </row>
    <row r="1893" spans="1:9" ht="16.350000000000001" customHeight="1">
      <c r="A1893" s="45">
        <v>2</v>
      </c>
      <c r="B1893" s="162"/>
      <c r="C1893" s="121" t="s">
        <v>178</v>
      </c>
      <c r="D1893" s="119"/>
      <c r="E1893" s="9"/>
      <c r="F1893" s="130">
        <f t="shared" ref="F1893:F1897" si="391">IF(E1893="",0,IF(E1893&gt;0,RANK(E1893,$E$1884:$E$1905,1)))</f>
        <v>0</v>
      </c>
      <c r="G1893" s="131">
        <f t="shared" si="390"/>
        <v>0</v>
      </c>
      <c r="I1893" s="110"/>
    </row>
    <row r="1894" spans="1:9" ht="16.350000000000001" customHeight="1">
      <c r="A1894" s="45">
        <v>3</v>
      </c>
      <c r="B1894" s="163"/>
      <c r="C1894" s="121" t="s">
        <v>367</v>
      </c>
      <c r="D1894" s="119"/>
      <c r="E1894" s="9"/>
      <c r="F1894" s="130">
        <f t="shared" si="391"/>
        <v>0</v>
      </c>
      <c r="G1894" s="131">
        <f t="shared" si="390"/>
        <v>0</v>
      </c>
      <c r="I1894" s="110"/>
    </row>
    <row r="1895" spans="1:9" ht="16.350000000000001" customHeight="1">
      <c r="A1895" s="45">
        <v>4</v>
      </c>
      <c r="B1895" s="163"/>
      <c r="C1895" s="121" t="s">
        <v>940</v>
      </c>
      <c r="D1895" s="119"/>
      <c r="E1895" s="9"/>
      <c r="F1895" s="130">
        <f t="shared" si="391"/>
        <v>0</v>
      </c>
      <c r="G1895" s="131">
        <f t="shared" si="390"/>
        <v>0</v>
      </c>
      <c r="I1895" s="110"/>
    </row>
    <row r="1896" spans="1:9" ht="16.350000000000001" customHeight="1">
      <c r="A1896" s="45">
        <v>5</v>
      </c>
      <c r="B1896" s="163"/>
      <c r="C1896" s="121" t="s">
        <v>941</v>
      </c>
      <c r="D1896" s="119"/>
      <c r="E1896" s="9"/>
      <c r="F1896" s="130">
        <f t="shared" si="391"/>
        <v>0</v>
      </c>
      <c r="G1896" s="131">
        <f t="shared" si="390"/>
        <v>0</v>
      </c>
      <c r="I1896" s="110"/>
    </row>
    <row r="1897" spans="1:9" ht="16.350000000000001" customHeight="1">
      <c r="A1897" s="45">
        <v>6</v>
      </c>
      <c r="B1897" s="163"/>
      <c r="C1897" s="121"/>
      <c r="D1897" s="119"/>
      <c r="E1897" s="9"/>
      <c r="F1897" s="130">
        <f t="shared" si="391"/>
        <v>0</v>
      </c>
      <c r="G1897" s="131">
        <f t="shared" si="390"/>
        <v>0</v>
      </c>
      <c r="I1897" s="110"/>
    </row>
    <row r="1898" spans="1:9" ht="16.350000000000001" customHeight="1">
      <c r="A1898" s="47" t="s">
        <v>938</v>
      </c>
      <c r="B1898" s="5"/>
      <c r="C1898" s="6"/>
      <c r="D1898" s="38"/>
      <c r="E1898" s="38"/>
      <c r="F1898" s="133"/>
      <c r="G1898" s="132"/>
      <c r="I1898" s="110"/>
    </row>
    <row r="1899" spans="1:9" ht="16.350000000000001" customHeight="1">
      <c r="A1899" s="43" t="s">
        <v>0</v>
      </c>
      <c r="B1899" s="7" t="s">
        <v>1</v>
      </c>
      <c r="C1899" s="149" t="s">
        <v>4</v>
      </c>
      <c r="D1899" s="7" t="s">
        <v>2</v>
      </c>
      <c r="E1899" s="7" t="s">
        <v>6</v>
      </c>
      <c r="F1899" s="128" t="s">
        <v>7</v>
      </c>
      <c r="G1899" s="129" t="s">
        <v>8</v>
      </c>
      <c r="I1899" s="110"/>
    </row>
    <row r="1900" spans="1:9" ht="16.350000000000001" customHeight="1">
      <c r="A1900" s="45">
        <v>1</v>
      </c>
      <c r="B1900" s="2"/>
      <c r="C1900" s="121"/>
      <c r="D1900" s="119"/>
      <c r="E1900" s="9"/>
      <c r="F1900" s="130">
        <f>IF(E1900="",0,IF(E1900&gt;0,RANK(E1900,$E$1884:$E$1905,1)))</f>
        <v>0</v>
      </c>
      <c r="G1900" s="131">
        <f t="shared" ref="G1900:G1905" si="392">VLOOKUP(F1900,$O$3:$P$33,2,0)</f>
        <v>0</v>
      </c>
      <c r="I1900" s="110"/>
    </row>
    <row r="1901" spans="1:9" ht="16.350000000000001" customHeight="1">
      <c r="A1901" s="45">
        <v>2</v>
      </c>
      <c r="B1901" s="162"/>
      <c r="C1901" s="121" t="s">
        <v>369</v>
      </c>
      <c r="D1901" s="119"/>
      <c r="E1901" s="9"/>
      <c r="F1901" s="130">
        <f t="shared" ref="F1901:F1905" si="393">IF(E1901="",0,IF(E1901&gt;0,RANK(E1901,$E$1884:$E$1905,1)))</f>
        <v>0</v>
      </c>
      <c r="G1901" s="131">
        <f t="shared" si="392"/>
        <v>0</v>
      </c>
      <c r="I1901" s="110"/>
    </row>
    <row r="1902" spans="1:9" ht="16.350000000000001" customHeight="1">
      <c r="A1902" s="45">
        <v>3</v>
      </c>
      <c r="B1902" s="163"/>
      <c r="C1902" s="121" t="s">
        <v>942</v>
      </c>
      <c r="D1902" s="119"/>
      <c r="E1902" s="9"/>
      <c r="F1902" s="130">
        <f t="shared" si="393"/>
        <v>0</v>
      </c>
      <c r="G1902" s="131">
        <f t="shared" si="392"/>
        <v>0</v>
      </c>
      <c r="I1902" s="110"/>
    </row>
    <row r="1903" spans="1:9" ht="16.350000000000001" customHeight="1">
      <c r="A1903" s="45">
        <v>4</v>
      </c>
      <c r="B1903" s="163"/>
      <c r="C1903" s="121" t="s">
        <v>370</v>
      </c>
      <c r="D1903" s="119"/>
      <c r="E1903" s="9"/>
      <c r="F1903" s="130">
        <f t="shared" si="393"/>
        <v>0</v>
      </c>
      <c r="G1903" s="131">
        <f t="shared" si="392"/>
        <v>0</v>
      </c>
      <c r="I1903" s="110"/>
    </row>
    <row r="1904" spans="1:9" ht="16.350000000000001" customHeight="1">
      <c r="A1904" s="45">
        <v>5</v>
      </c>
      <c r="B1904" s="163"/>
      <c r="C1904" s="121" t="s">
        <v>943</v>
      </c>
      <c r="D1904" s="119"/>
      <c r="E1904" s="9"/>
      <c r="F1904" s="130">
        <f t="shared" si="393"/>
        <v>0</v>
      </c>
      <c r="G1904" s="131">
        <f t="shared" si="392"/>
        <v>0</v>
      </c>
      <c r="I1904" s="110"/>
    </row>
    <row r="1905" spans="1:9" ht="16.350000000000001" customHeight="1">
      <c r="A1905" s="45">
        <v>6</v>
      </c>
      <c r="B1905" s="163"/>
      <c r="C1905" s="121"/>
      <c r="D1905" s="119"/>
      <c r="E1905" s="9"/>
      <c r="F1905" s="130">
        <f t="shared" si="393"/>
        <v>0</v>
      </c>
      <c r="G1905" s="131">
        <f t="shared" si="392"/>
        <v>0</v>
      </c>
      <c r="I1905" s="110"/>
    </row>
    <row r="1906" spans="1:9" ht="16.350000000000001" customHeight="1">
      <c r="A1906" s="47" t="s">
        <v>944</v>
      </c>
      <c r="B1906" s="5"/>
      <c r="C1906" s="6"/>
      <c r="D1906" s="38"/>
      <c r="E1906" s="38"/>
      <c r="F1906" s="38"/>
      <c r="G1906" s="49"/>
      <c r="I1906" s="110"/>
    </row>
    <row r="1907" spans="1:9" ht="16.350000000000001" customHeight="1">
      <c r="A1907" s="43" t="s">
        <v>0</v>
      </c>
      <c r="B1907" s="7" t="s">
        <v>1</v>
      </c>
      <c r="C1907" s="149" t="s">
        <v>4</v>
      </c>
      <c r="D1907" s="7" t="s">
        <v>2</v>
      </c>
      <c r="E1907" s="7" t="s">
        <v>6</v>
      </c>
      <c r="F1907" s="97" t="s">
        <v>7</v>
      </c>
      <c r="G1907" s="159" t="s">
        <v>8</v>
      </c>
      <c r="I1907" s="110"/>
    </row>
    <row r="1908" spans="1:9" ht="16.350000000000001" customHeight="1">
      <c r="A1908" s="45">
        <v>1</v>
      </c>
      <c r="B1908" s="2"/>
      <c r="C1908" s="121" t="s">
        <v>945</v>
      </c>
      <c r="D1908" s="119"/>
      <c r="E1908" s="9"/>
      <c r="F1908" s="118">
        <f>IF(E1908="",0,IF(E1908&gt;0,RANK(E1908,$E$1908:$E$1913,1)))</f>
        <v>0</v>
      </c>
      <c r="G1908" s="50">
        <f t="shared" ref="G1908:G1913" si="394">VLOOKUP(F1908,$O$3:$P$33,2,0)</f>
        <v>0</v>
      </c>
      <c r="I1908" s="110"/>
    </row>
    <row r="1909" spans="1:9" ht="16.350000000000001" customHeight="1">
      <c r="A1909" s="45">
        <v>2</v>
      </c>
      <c r="B1909" s="162"/>
      <c r="C1909" s="121" t="s">
        <v>946</v>
      </c>
      <c r="D1909" s="119"/>
      <c r="E1909" s="9"/>
      <c r="F1909" s="118">
        <f t="shared" ref="F1909:F1913" si="395">IF(E1909="",0,IF(E1909&gt;0,RANK(E1909,$E$1908:$E$1913,1)))</f>
        <v>0</v>
      </c>
      <c r="G1909" s="50">
        <f t="shared" si="394"/>
        <v>0</v>
      </c>
      <c r="I1909" s="110"/>
    </row>
    <row r="1910" spans="1:9" ht="16.350000000000001" customHeight="1">
      <c r="A1910" s="45">
        <v>3</v>
      </c>
      <c r="B1910" s="163"/>
      <c r="C1910" s="121" t="s">
        <v>947</v>
      </c>
      <c r="D1910" s="119"/>
      <c r="E1910" s="9"/>
      <c r="F1910" s="118">
        <f t="shared" si="395"/>
        <v>0</v>
      </c>
      <c r="G1910" s="50">
        <f t="shared" si="394"/>
        <v>0</v>
      </c>
      <c r="I1910" s="110"/>
    </row>
    <row r="1911" spans="1:9" ht="16.350000000000001" customHeight="1">
      <c r="A1911" s="45">
        <v>4</v>
      </c>
      <c r="B1911" s="163"/>
      <c r="C1911" s="121" t="s">
        <v>948</v>
      </c>
      <c r="D1911" s="119"/>
      <c r="E1911" s="9"/>
      <c r="F1911" s="118">
        <f t="shared" si="395"/>
        <v>0</v>
      </c>
      <c r="G1911" s="50">
        <f t="shared" si="394"/>
        <v>0</v>
      </c>
      <c r="I1911" s="110"/>
    </row>
    <row r="1912" spans="1:9" ht="16.350000000000001" customHeight="1">
      <c r="A1912" s="45">
        <v>5</v>
      </c>
      <c r="B1912" s="163"/>
      <c r="C1912" s="121" t="s">
        <v>949</v>
      </c>
      <c r="D1912" s="119"/>
      <c r="E1912" s="9"/>
      <c r="F1912" s="118">
        <f t="shared" si="395"/>
        <v>0</v>
      </c>
      <c r="G1912" s="50">
        <f t="shared" si="394"/>
        <v>0</v>
      </c>
      <c r="I1912" s="110"/>
    </row>
    <row r="1913" spans="1:9" ht="16.350000000000001" customHeight="1">
      <c r="A1913" s="45">
        <v>6</v>
      </c>
      <c r="B1913" s="163"/>
      <c r="C1913" s="121" t="s">
        <v>950</v>
      </c>
      <c r="D1913" s="119"/>
      <c r="E1913" s="9"/>
      <c r="F1913" s="118">
        <f t="shared" si="395"/>
        <v>0</v>
      </c>
      <c r="G1913" s="50">
        <f t="shared" si="394"/>
        <v>0</v>
      </c>
      <c r="I1913" s="110"/>
    </row>
  </sheetData>
  <mergeCells count="1">
    <mergeCell ref="L34:P34"/>
  </mergeCells>
  <phoneticPr fontId="1" type="noConversion"/>
  <pageMargins left="0.70866141732283472" right="0.70866141732283472" top="0.78740157480314965" bottom="0.78740157480314965" header="0.31496062992125984" footer="0.31496062992125984"/>
  <pageSetup paperSize="9" scale="67" fitToHeight="0" orientation="portrait" r:id="rId1"/>
  <rowBreaks count="28" manualBreakCount="28">
    <brk id="97" max="6" man="1"/>
    <brk id="129" max="6" man="1"/>
    <brk id="257" max="6" man="1"/>
    <brk id="305" max="6" man="1"/>
    <brk id="369" max="6" man="1"/>
    <brk id="433" max="6" man="1"/>
    <brk id="505" max="6" man="1"/>
    <brk id="569" max="6" man="1"/>
    <brk id="585" max="6" man="1"/>
    <brk id="649" max="6" man="1"/>
    <brk id="713" max="6" man="1"/>
    <brk id="785" max="6" man="1"/>
    <brk id="849" max="6" man="1"/>
    <brk id="913" max="6" man="1"/>
    <brk id="977" max="6" man="1"/>
    <brk id="1041" max="6" man="1"/>
    <brk id="1105" max="6" man="1"/>
    <brk id="1169" max="6" man="1"/>
    <brk id="1233" max="6" man="1"/>
    <brk id="1297" max="6" man="1"/>
    <brk id="1361" max="6" man="1"/>
    <brk id="1425" max="6" man="1"/>
    <brk id="1489" max="6" man="1"/>
    <brk id="1553" max="6" man="1"/>
    <brk id="1617" max="6" man="1"/>
    <brk id="1681" max="6" man="1"/>
    <brk id="1745" max="6" man="1"/>
    <brk id="180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기록지(2023)</vt:lpstr>
      <vt:lpstr>'기록지(2023)'!Print_Area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kkepp</dc:creator>
  <cp:lastModifiedBy>조가람</cp:lastModifiedBy>
  <cp:lastPrinted>2023-12-03T07:25:17Z</cp:lastPrinted>
  <dcterms:created xsi:type="dcterms:W3CDTF">2017-09-29T13:10:36Z</dcterms:created>
  <dcterms:modified xsi:type="dcterms:W3CDTF">2024-10-28T01:58:40Z</dcterms:modified>
</cp:coreProperties>
</file>

<file path=userCustomization/customUI.xml><?xml version="1.0" encoding="utf-8"?>
<mso:customUI xmlns:mso="http://schemas.microsoft.com/office/2006/01/customui">
  <mso:ribbon>
    <mso:qat>
      <mso:documentControls>
        <mso:control idQ="mso:ObjectsSelect" visible="true"/>
      </mso:documentControls>
    </mso:qat>
  </mso:ribbon>
</mso:customUI>
</file>